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etiana.lem\Desktop\TL\Regional Development\"/>
    </mc:Choice>
  </mc:AlternateContent>
  <xr:revisionPtr revIDLastSave="0" documentId="13_ncr:1_{AACCC143-4DD8-432C-B4F6-490DF6E26A5B}" xr6:coauthVersionLast="47" xr6:coauthVersionMax="47" xr10:uidLastSave="{00000000-0000-0000-0000-000000000000}"/>
  <bookViews>
    <workbookView xWindow="10470" yWindow="465" windowWidth="15750" windowHeight="14295" xr2:uid="{00000000-000D-0000-FFFF-FFFF00000000}"/>
  </bookViews>
  <sheets>
    <sheet name="0" sheetId="39" r:id="rId1"/>
    <sheet name="Data template" sheetId="2" r:id="rId2"/>
    <sheet name="Data" sheetId="41" r:id="rId3"/>
    <sheet name="Data_mean by region" sheetId="43" r:id="rId4"/>
    <sheet name="Data_standardisation" sheetId="44" r:id="rId5"/>
    <sheet name="Index" sheetId="45" r:id="rId6"/>
    <sheet name="Data quality" sheetId="42" r:id="rId7"/>
    <sheet name="Regression" sheetId="46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45" l="1"/>
  <c r="B4" i="45"/>
  <c r="B5" i="45"/>
  <c r="B6" i="45"/>
  <c r="B7" i="45"/>
  <c r="B8" i="45"/>
  <c r="B9" i="45"/>
  <c r="B10" i="45"/>
  <c r="B11" i="45"/>
  <c r="B12" i="45"/>
  <c r="B13" i="45"/>
  <c r="B14" i="45"/>
  <c r="B15" i="45"/>
  <c r="B16" i="45"/>
  <c r="B17" i="45"/>
  <c r="B18" i="45"/>
  <c r="B19" i="45"/>
  <c r="B20" i="45"/>
  <c r="B21" i="45"/>
  <c r="B22" i="45"/>
  <c r="B23" i="45"/>
  <c r="B24" i="45"/>
  <c r="B25" i="45"/>
  <c r="B26" i="45"/>
  <c r="B2" i="45"/>
  <c r="B2" i="44"/>
  <c r="C2" i="44"/>
  <c r="D2" i="44"/>
  <c r="E2" i="44"/>
  <c r="F2" i="44"/>
  <c r="B3" i="44"/>
  <c r="C3" i="44"/>
  <c r="D3" i="44"/>
  <c r="E3" i="44"/>
  <c r="F3" i="44"/>
  <c r="B4" i="44"/>
  <c r="C4" i="44"/>
  <c r="D4" i="44"/>
  <c r="E4" i="44"/>
  <c r="F4" i="44"/>
  <c r="B5" i="44"/>
  <c r="C5" i="44"/>
  <c r="D5" i="44"/>
  <c r="E5" i="44"/>
  <c r="F5" i="44"/>
  <c r="B6" i="44"/>
  <c r="C6" i="44"/>
  <c r="D6" i="44"/>
  <c r="E6" i="44"/>
  <c r="F6" i="44"/>
  <c r="B7" i="44"/>
  <c r="C7" i="44"/>
  <c r="D7" i="44"/>
  <c r="E7" i="44"/>
  <c r="F7" i="44"/>
  <c r="B8" i="44"/>
  <c r="C8" i="44"/>
  <c r="D8" i="44"/>
  <c r="E8" i="44"/>
  <c r="F8" i="44"/>
  <c r="B9" i="44"/>
  <c r="C9" i="44"/>
  <c r="D9" i="44"/>
  <c r="E9" i="44"/>
  <c r="F9" i="44"/>
  <c r="B10" i="44"/>
  <c r="C10" i="44"/>
  <c r="D10" i="44"/>
  <c r="E10" i="44"/>
  <c r="F10" i="44"/>
  <c r="B11" i="44"/>
  <c r="C11" i="44"/>
  <c r="D11" i="44"/>
  <c r="E11" i="44"/>
  <c r="F11" i="44"/>
  <c r="B12" i="44"/>
  <c r="C12" i="44"/>
  <c r="D12" i="44"/>
  <c r="E12" i="44"/>
  <c r="F12" i="44"/>
  <c r="B13" i="44"/>
  <c r="C13" i="44"/>
  <c r="D13" i="44"/>
  <c r="E13" i="44"/>
  <c r="F13" i="44"/>
  <c r="B14" i="44"/>
  <c r="C14" i="44"/>
  <c r="D14" i="44"/>
  <c r="E14" i="44"/>
  <c r="F14" i="44"/>
  <c r="B15" i="44"/>
  <c r="C15" i="44"/>
  <c r="D15" i="44"/>
  <c r="E15" i="44"/>
  <c r="F15" i="44"/>
  <c r="B16" i="44"/>
  <c r="C16" i="44"/>
  <c r="D16" i="44"/>
  <c r="E16" i="44"/>
  <c r="F16" i="44"/>
  <c r="B17" i="44"/>
  <c r="C17" i="44"/>
  <c r="D17" i="44"/>
  <c r="E17" i="44"/>
  <c r="F17" i="44"/>
  <c r="B18" i="44"/>
  <c r="C18" i="44"/>
  <c r="D18" i="44"/>
  <c r="E18" i="44"/>
  <c r="F18" i="44"/>
  <c r="B19" i="44"/>
  <c r="C19" i="44"/>
  <c r="D19" i="44"/>
  <c r="E19" i="44"/>
  <c r="F19" i="44"/>
  <c r="B20" i="44"/>
  <c r="C20" i="44"/>
  <c r="D20" i="44"/>
  <c r="E20" i="44"/>
  <c r="F20" i="44"/>
  <c r="B21" i="44"/>
  <c r="C21" i="44"/>
  <c r="D21" i="44"/>
  <c r="E21" i="44"/>
  <c r="F21" i="44"/>
  <c r="B22" i="44"/>
  <c r="C22" i="44"/>
  <c r="D22" i="44"/>
  <c r="E22" i="44"/>
  <c r="F22" i="44"/>
  <c r="B23" i="44"/>
  <c r="C23" i="44"/>
  <c r="D23" i="44"/>
  <c r="E23" i="44"/>
  <c r="F23" i="44"/>
  <c r="B24" i="44"/>
  <c r="C24" i="44"/>
  <c r="D24" i="44"/>
  <c r="E24" i="44"/>
  <c r="F24" i="44"/>
  <c r="B25" i="44"/>
  <c r="C25" i="44"/>
  <c r="D25" i="44"/>
  <c r="E25" i="44"/>
  <c r="F25" i="44"/>
  <c r="B26" i="44"/>
  <c r="C26" i="44"/>
  <c r="D26" i="44"/>
  <c r="E26" i="44"/>
  <c r="F26" i="44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F13" i="43"/>
  <c r="F12" i="43"/>
  <c r="F11" i="43"/>
  <c r="F10" i="43"/>
  <c r="F9" i="43"/>
  <c r="F8" i="43"/>
  <c r="F7" i="43"/>
  <c r="F6" i="43"/>
  <c r="F5" i="43"/>
  <c r="F4" i="43"/>
  <c r="F3" i="43"/>
  <c r="F2" i="43"/>
  <c r="E26" i="43"/>
  <c r="E25" i="43"/>
  <c r="E24" i="43"/>
  <c r="E23" i="43"/>
  <c r="E22" i="43"/>
  <c r="E21" i="43"/>
  <c r="E20" i="43"/>
  <c r="E19" i="43"/>
  <c r="E18" i="43"/>
  <c r="E17" i="43"/>
  <c r="E16" i="43"/>
  <c r="E15" i="43"/>
  <c r="E14" i="43"/>
  <c r="E13" i="43"/>
  <c r="E12" i="43"/>
  <c r="E11" i="43"/>
  <c r="E10" i="43"/>
  <c r="E9" i="43"/>
  <c r="E8" i="43"/>
  <c r="E7" i="43"/>
  <c r="E6" i="43"/>
  <c r="E5" i="43"/>
  <c r="E4" i="43"/>
  <c r="E3" i="43"/>
  <c r="E2" i="43"/>
  <c r="D26" i="43"/>
  <c r="D25" i="43"/>
  <c r="D24" i="43"/>
  <c r="D23" i="43"/>
  <c r="D22" i="43"/>
  <c r="D21" i="43"/>
  <c r="D20" i="43"/>
  <c r="D19" i="43"/>
  <c r="D18" i="43"/>
  <c r="D17" i="43"/>
  <c r="D16" i="43"/>
  <c r="D15" i="43"/>
  <c r="D14" i="43"/>
  <c r="D13" i="43"/>
  <c r="D12" i="43"/>
  <c r="D11" i="43"/>
  <c r="D10" i="43"/>
  <c r="D9" i="43"/>
  <c r="D8" i="43"/>
  <c r="D7" i="43"/>
  <c r="D6" i="43"/>
  <c r="D5" i="43"/>
  <c r="D4" i="43"/>
  <c r="D3" i="43"/>
  <c r="D2" i="43"/>
  <c r="C26" i="43"/>
  <c r="C25" i="43"/>
  <c r="C24" i="43"/>
  <c r="C23" i="43"/>
  <c r="C22" i="43"/>
  <c r="C21" i="43"/>
  <c r="C20" i="43"/>
  <c r="C19" i="43"/>
  <c r="C18" i="43"/>
  <c r="C17" i="43"/>
  <c r="C16" i="43"/>
  <c r="C15" i="43"/>
  <c r="C14" i="43"/>
  <c r="C13" i="43"/>
  <c r="C12" i="43"/>
  <c r="C11" i="43"/>
  <c r="C10" i="43"/>
  <c r="C9" i="43"/>
  <c r="C8" i="43"/>
  <c r="C7" i="43"/>
  <c r="C6" i="43"/>
  <c r="C5" i="43"/>
  <c r="C4" i="43"/>
  <c r="C3" i="43"/>
  <c r="C2" i="43"/>
  <c r="B26" i="43"/>
  <c r="B25" i="43"/>
  <c r="B24" i="43"/>
  <c r="B23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9" i="43"/>
  <c r="B8" i="43"/>
  <c r="B7" i="43"/>
  <c r="B6" i="43"/>
  <c r="B5" i="43"/>
  <c r="B4" i="43"/>
  <c r="B3" i="43"/>
  <c r="B2" i="43"/>
  <c r="C2" i="42" l="1"/>
  <c r="D2" i="42"/>
  <c r="E2" i="42"/>
  <c r="F2" i="42"/>
  <c r="C3" i="42"/>
  <c r="D3" i="42"/>
  <c r="E3" i="42"/>
  <c r="F3" i="42"/>
  <c r="C4" i="42"/>
  <c r="D4" i="42"/>
  <c r="E4" i="42"/>
  <c r="F4" i="42"/>
  <c r="C5" i="42"/>
  <c r="D5" i="42"/>
  <c r="E5" i="42"/>
  <c r="F5" i="42"/>
  <c r="B5" i="42"/>
  <c r="B4" i="42"/>
  <c r="B3" i="42"/>
  <c r="B2" i="42"/>
</calcChain>
</file>

<file path=xl/sharedStrings.xml><?xml version="1.0" encoding="utf-8"?>
<sst xmlns="http://schemas.openxmlformats.org/spreadsheetml/2006/main" count="364" uniqueCount="73">
  <si>
    <t>Регіон</t>
  </si>
  <si>
    <t>Рік</t>
  </si>
  <si>
    <t>Валовий регіональний продукт</t>
  </si>
  <si>
    <t>Наявний дохід на одну особу</t>
  </si>
  <si>
    <t>Обсяг експорту товарів</t>
  </si>
  <si>
    <t>Кількість підприємств</t>
  </si>
  <si>
    <t>Середньомісячна заробітна плата</t>
  </si>
  <si>
    <t>Вінницька</t>
  </si>
  <si>
    <t>Волинська</t>
  </si>
  <si>
    <t>Дніпропетровська</t>
  </si>
  <si>
    <t>Донецька</t>
  </si>
  <si>
    <t>Житомирська</t>
  </si>
  <si>
    <t>Закарпатська</t>
  </si>
  <si>
    <t>Запорізька</t>
  </si>
  <si>
    <t>Івано-Франківська</t>
  </si>
  <si>
    <t xml:space="preserve">Київська </t>
  </si>
  <si>
    <t>Кіровоградська</t>
  </si>
  <si>
    <t>Луганська</t>
  </si>
  <si>
    <t>Львівська</t>
  </si>
  <si>
    <t>Миколаївська</t>
  </si>
  <si>
    <t>Одеська</t>
  </si>
  <si>
    <t>Полтавська</t>
  </si>
  <si>
    <t>Рівненська</t>
  </si>
  <si>
    <t>Сумська</t>
  </si>
  <si>
    <t>Тернопільська</t>
  </si>
  <si>
    <t>Харківська</t>
  </si>
  <si>
    <t>Херсонська</t>
  </si>
  <si>
    <t>Хмельницька</t>
  </si>
  <si>
    <t>Черкаська</t>
  </si>
  <si>
    <t>Чернівецька</t>
  </si>
  <si>
    <t>Чернігівська</t>
  </si>
  <si>
    <t>Київ</t>
  </si>
  <si>
    <t>Min</t>
  </si>
  <si>
    <t>Max</t>
  </si>
  <si>
    <t>Average</t>
  </si>
  <si>
    <t>Median</t>
  </si>
  <si>
    <t>Correlation Matrix</t>
  </si>
  <si>
    <t>Economic index</t>
  </si>
  <si>
    <t>Clusters</t>
  </si>
  <si>
    <t>Dependent Variable (Y)</t>
  </si>
  <si>
    <t>Independent Var 1 (X1)</t>
  </si>
  <si>
    <t>Independent Var 2 (X2)</t>
  </si>
  <si>
    <t>Independent Var 3 (X3)</t>
  </si>
  <si>
    <t>Independent Var 4 (X4)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</si>
  <si>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</si>
  <si>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</si>
  <si>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</si>
  <si>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</si>
  <si>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</si>
  <si>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</si>
  <si>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</si>
  <si>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</si>
  <si>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</si>
  <si>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</si>
  <si>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</si>
  <si>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</si>
  <si>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</si>
  <si>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</si>
  <si>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</si>
  <si>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</si>
  <si>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</si>
  <si>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</si>
  <si>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</si>
  <si>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</si>
  <si>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</si>
  <si>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</si>
  <si>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RESIDUAL OUTPUT</t>
  </si>
  <si>
    <t>Observation</t>
  </si>
  <si>
    <t>Predicted Dependent Variable (Y)</t>
  </si>
  <si>
    <t>Residuals</t>
  </si>
  <si>
    <t>Standard Residuals</t>
  </si>
  <si>
    <t>PROBABILITY OUTPUT</t>
  </si>
  <si>
    <t>Percentile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</si>
</sst>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rgb="FF000000"/>
      <name val="Aptos Narrow"/>
      <family val="2"/>
    </font>
    <font>
      <sz val="9"/>
      <color rgb="FF000000"/>
      <name val="Aptos Narrow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sz val="8"/>
      <color rgb="FF000000"/>
      <name val="Aptos Narrow"/>
      <family val="2"/>
    </font>
    <font>
      <i/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Border="0" applyProtection="0"/>
  </cellStyleXfs>
  <cellXfs count="20">
    <xf numFmtId="0" fontId="0" fillId="0" borderId="0" xfId="0"/>
    <xf numFmtId="0" fontId="2" fillId="0" borderId="0" xfId="1" applyFont="1" applyBorder="1" applyAlignment="1" applyProtection="1">
      <alignment horizontal="left" vertical="center" wrapText="1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 wrapText="1"/>
    </xf>
    <xf numFmtId="1" fontId="2" fillId="0" borderId="0" xfId="0" applyNumberFormat="1" applyFont="1" applyAlignment="1">
      <alignment horizontal="left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1" fontId="4" fillId="0" borderId="0" xfId="0" applyNumberFormat="1" applyFont="1" applyAlignment="1">
      <alignment horizontal="left" vertical="center" wrapText="1"/>
    </xf>
    <xf numFmtId="1" fontId="3" fillId="0" borderId="0" xfId="0" applyNumberFormat="1" applyFont="1" applyAlignment="1">
      <alignment horizontal="left" vertical="center" wrapText="1"/>
    </xf>
    <xf numFmtId="1" fontId="4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left" wrapText="1"/>
    </xf>
    <xf numFmtId="1" fontId="0" fillId="0" borderId="0" xfId="0" applyNumberFormat="1"/>
    <xf numFmtId="1" fontId="3" fillId="0" borderId="0" xfId="0" applyNumberFormat="1" applyFont="1" applyAlignment="1">
      <alignment horizontal="left" vertical="center"/>
    </xf>
    <xf numFmtId="1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Fill="1" applyBorder="1" applyAlignment="1"/>
    <xf numFmtId="0" fontId="0" fillId="0" borderId="1" xfId="0" applyFill="1" applyBorder="1" applyAlignment="1"/>
    <xf numFmtId="0" fontId="6" fillId="0" borderId="2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Continuous"/>
    </xf>
  </cellXfs>
  <cellStyles count="2">
    <cellStyle name="Normal" xfId="0" builtinId="0" customBuiltin="1"/>
    <cellStyle name="Normal 2" xfId="1" xr:uid="{C253CD91-D21A-43CF-BC78-E48E378673F7}"/>
  </cellStyles>
  <dxfs count="0"/>
  <tableStyles count="0" defaultTableStyle="TableStyleMedium2" defaultPivotStyle="PivotStyleLight16"/>
  <colors>
    <mruColors>
      <color rgb="FF8018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Radar Chart of Index Values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Index!$B$1</c:f>
              <c:strCache>
                <c:ptCount val="1"/>
                <c:pt idx="0">
                  <c:v>Economic index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Index!$A$2:$A$26</c:f>
              <c:strCache>
                <c:ptCount val="25"/>
                <c:pt idx="0">
                  <c:v>Вінницька</c:v>
                </c:pt>
                <c:pt idx="1">
                  <c:v>Волинська</c:v>
                </c:pt>
                <c:pt idx="2">
                  <c:v>Дніпропетровська</c:v>
                </c:pt>
                <c:pt idx="3">
                  <c:v>Донецька</c:v>
                </c:pt>
                <c:pt idx="4">
                  <c:v>Житомирська</c:v>
                </c:pt>
                <c:pt idx="5">
                  <c:v>Закарпатська</c:v>
                </c:pt>
                <c:pt idx="6">
                  <c:v>Запорізька</c:v>
                </c:pt>
                <c:pt idx="7">
                  <c:v>Івано-Франківська</c:v>
                </c:pt>
                <c:pt idx="8">
                  <c:v>Київська </c:v>
                </c:pt>
                <c:pt idx="9">
                  <c:v>Кіровоградська</c:v>
                </c:pt>
                <c:pt idx="10">
                  <c:v>Луганська</c:v>
                </c:pt>
                <c:pt idx="11">
                  <c:v>Львівська</c:v>
                </c:pt>
                <c:pt idx="12">
                  <c:v>Миколаївська</c:v>
                </c:pt>
                <c:pt idx="13">
                  <c:v>Одеська</c:v>
                </c:pt>
                <c:pt idx="14">
                  <c:v>Полтавська</c:v>
                </c:pt>
                <c:pt idx="15">
                  <c:v>Рівненська</c:v>
                </c:pt>
                <c:pt idx="16">
                  <c:v>Сумська</c:v>
                </c:pt>
                <c:pt idx="17">
                  <c:v>Тернопільська</c:v>
                </c:pt>
                <c:pt idx="18">
                  <c:v>Харківська</c:v>
                </c:pt>
                <c:pt idx="19">
                  <c:v>Херсонська</c:v>
                </c:pt>
                <c:pt idx="20">
                  <c:v>Хмельницька</c:v>
                </c:pt>
                <c:pt idx="21">
                  <c:v>Черкаська</c:v>
                </c:pt>
                <c:pt idx="22">
                  <c:v>Чернівецька</c:v>
                </c:pt>
                <c:pt idx="23">
                  <c:v>Чернігівська</c:v>
                </c:pt>
                <c:pt idx="24">
                  <c:v>Київ</c:v>
                </c:pt>
              </c:strCache>
            </c:strRef>
          </c:cat>
          <c:val>
            <c:numRef>
              <c:f>Index!$B$2:$B$26</c:f>
              <c:numCache>
                <c:formatCode>General</c:formatCode>
                <c:ptCount val="25"/>
                <c:pt idx="0">
                  <c:v>-0.26124010559920818</c:v>
                </c:pt>
                <c:pt idx="1">
                  <c:v>-0.52964723542488568</c:v>
                </c:pt>
                <c:pt idx="2">
                  <c:v>1.2425834070846675</c:v>
                </c:pt>
                <c:pt idx="3">
                  <c:v>0.32019928063985431</c:v>
                </c:pt>
                <c:pt idx="4">
                  <c:v>-0.42897137055647794</c:v>
                </c:pt>
                <c:pt idx="5">
                  <c:v>-0.48422188193151555</c:v>
                </c:pt>
                <c:pt idx="6">
                  <c:v>0.38815689321525337</c:v>
                </c:pt>
                <c:pt idx="7">
                  <c:v>-0.38138445946412164</c:v>
                </c:pt>
                <c:pt idx="8">
                  <c:v>0.36907178852615852</c:v>
                </c:pt>
                <c:pt idx="9">
                  <c:v>-0.41200524132463689</c:v>
                </c:pt>
                <c:pt idx="10">
                  <c:v>-0.62057671179898111</c:v>
                </c:pt>
                <c:pt idx="11">
                  <c:v>4.2907204561752579E-2</c:v>
                </c:pt>
                <c:pt idx="12">
                  <c:v>6.313949549679139E-2</c:v>
                </c:pt>
                <c:pt idx="13">
                  <c:v>0.21666440254654185</c:v>
                </c:pt>
                <c:pt idx="14">
                  <c:v>8.0660724000227307E-2</c:v>
                </c:pt>
                <c:pt idx="15">
                  <c:v>-0.41449842962841155</c:v>
                </c:pt>
                <c:pt idx="16">
                  <c:v>-0.31729859975159358</c:v>
                </c:pt>
                <c:pt idx="17">
                  <c:v>-0.67290474809820267</c:v>
                </c:pt>
                <c:pt idx="18">
                  <c:v>0.14293067705472479</c:v>
                </c:pt>
                <c:pt idx="19">
                  <c:v>-0.52103413345298744</c:v>
                </c:pt>
                <c:pt idx="20">
                  <c:v>-0.40277650333267256</c:v>
                </c:pt>
                <c:pt idx="21">
                  <c:v>-0.35871197416715805</c:v>
                </c:pt>
                <c:pt idx="22">
                  <c:v>-0.67773127455986404</c:v>
                </c:pt>
                <c:pt idx="23">
                  <c:v>-0.46667107142722886</c:v>
                </c:pt>
                <c:pt idx="24">
                  <c:v>4.0833598673919766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AE-43D5-9DB6-B79C35ED87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7470607"/>
        <c:axId val="1647469647"/>
      </c:radarChart>
      <c:catAx>
        <c:axId val="1647470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469647"/>
        <c:crosses val="autoZero"/>
        <c:auto val="1"/>
        <c:lblAlgn val="ctr"/>
        <c:lblOffset val="100"/>
        <c:noMultiLvlLbl val="0"/>
      </c:catAx>
      <c:valAx>
        <c:axId val="1647469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4706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Bar Chart of Index Values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Index!$B$1</c:f>
              <c:strCache>
                <c:ptCount val="1"/>
                <c:pt idx="0">
                  <c:v>Economic index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Index!$A$2:$A$26</c:f>
              <c:strCache>
                <c:ptCount val="25"/>
                <c:pt idx="0">
                  <c:v>Вінницька</c:v>
                </c:pt>
                <c:pt idx="1">
                  <c:v>Волинська</c:v>
                </c:pt>
                <c:pt idx="2">
                  <c:v>Дніпропетровська</c:v>
                </c:pt>
                <c:pt idx="3">
                  <c:v>Донецька</c:v>
                </c:pt>
                <c:pt idx="4">
                  <c:v>Житомирська</c:v>
                </c:pt>
                <c:pt idx="5">
                  <c:v>Закарпатська</c:v>
                </c:pt>
                <c:pt idx="6">
                  <c:v>Запорізька</c:v>
                </c:pt>
                <c:pt idx="7">
                  <c:v>Івано-Франківська</c:v>
                </c:pt>
                <c:pt idx="8">
                  <c:v>Київська </c:v>
                </c:pt>
                <c:pt idx="9">
                  <c:v>Кіровоградська</c:v>
                </c:pt>
                <c:pt idx="10">
                  <c:v>Луганська</c:v>
                </c:pt>
                <c:pt idx="11">
                  <c:v>Львівська</c:v>
                </c:pt>
                <c:pt idx="12">
                  <c:v>Миколаївська</c:v>
                </c:pt>
                <c:pt idx="13">
                  <c:v>Одеська</c:v>
                </c:pt>
                <c:pt idx="14">
                  <c:v>Полтавська</c:v>
                </c:pt>
                <c:pt idx="15">
                  <c:v>Рівненська</c:v>
                </c:pt>
                <c:pt idx="16">
                  <c:v>Сумська</c:v>
                </c:pt>
                <c:pt idx="17">
                  <c:v>Тернопільська</c:v>
                </c:pt>
                <c:pt idx="18">
                  <c:v>Харківська</c:v>
                </c:pt>
                <c:pt idx="19">
                  <c:v>Херсонська</c:v>
                </c:pt>
                <c:pt idx="20">
                  <c:v>Хмельницька</c:v>
                </c:pt>
                <c:pt idx="21">
                  <c:v>Черкаська</c:v>
                </c:pt>
                <c:pt idx="22">
                  <c:v>Чернівецька</c:v>
                </c:pt>
                <c:pt idx="23">
                  <c:v>Чернігівська</c:v>
                </c:pt>
                <c:pt idx="24">
                  <c:v>Київ</c:v>
                </c:pt>
              </c:strCache>
            </c:strRef>
          </c:cat>
          <c:val>
            <c:numRef>
              <c:f>Index!$B$2:$B$26</c:f>
              <c:numCache>
                <c:formatCode>General</c:formatCode>
                <c:ptCount val="25"/>
                <c:pt idx="0">
                  <c:v>-0.26124010559920818</c:v>
                </c:pt>
                <c:pt idx="1">
                  <c:v>-0.52964723542488568</c:v>
                </c:pt>
                <c:pt idx="2">
                  <c:v>1.2425834070846675</c:v>
                </c:pt>
                <c:pt idx="3">
                  <c:v>0.32019928063985431</c:v>
                </c:pt>
                <c:pt idx="4">
                  <c:v>-0.42897137055647794</c:v>
                </c:pt>
                <c:pt idx="5">
                  <c:v>-0.48422188193151555</c:v>
                </c:pt>
                <c:pt idx="6">
                  <c:v>0.38815689321525337</c:v>
                </c:pt>
                <c:pt idx="7">
                  <c:v>-0.38138445946412164</c:v>
                </c:pt>
                <c:pt idx="8">
                  <c:v>0.36907178852615852</c:v>
                </c:pt>
                <c:pt idx="9">
                  <c:v>-0.41200524132463689</c:v>
                </c:pt>
                <c:pt idx="10">
                  <c:v>-0.62057671179898111</c:v>
                </c:pt>
                <c:pt idx="11">
                  <c:v>4.2907204561752579E-2</c:v>
                </c:pt>
                <c:pt idx="12">
                  <c:v>6.313949549679139E-2</c:v>
                </c:pt>
                <c:pt idx="13">
                  <c:v>0.21666440254654185</c:v>
                </c:pt>
                <c:pt idx="14">
                  <c:v>8.0660724000227307E-2</c:v>
                </c:pt>
                <c:pt idx="15">
                  <c:v>-0.41449842962841155</c:v>
                </c:pt>
                <c:pt idx="16">
                  <c:v>-0.31729859975159358</c:v>
                </c:pt>
                <c:pt idx="17">
                  <c:v>-0.67290474809820267</c:v>
                </c:pt>
                <c:pt idx="18">
                  <c:v>0.14293067705472479</c:v>
                </c:pt>
                <c:pt idx="19">
                  <c:v>-0.52103413345298744</c:v>
                </c:pt>
                <c:pt idx="20">
                  <c:v>-0.40277650333267256</c:v>
                </c:pt>
                <c:pt idx="21">
                  <c:v>-0.35871197416715805</c:v>
                </c:pt>
                <c:pt idx="22">
                  <c:v>-0.67773127455986404</c:v>
                </c:pt>
                <c:pt idx="23">
                  <c:v>-0.46667107142722886</c:v>
                </c:pt>
                <c:pt idx="24">
                  <c:v>4.0833598673919766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2B-4BA6-A1C7-921CF56B4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47472047"/>
        <c:axId val="1616157055"/>
      </c:barChart>
      <c:catAx>
        <c:axId val="16474720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6157055"/>
        <c:crosses val="autoZero"/>
        <c:auto val="1"/>
        <c:lblAlgn val="ctr"/>
        <c:lblOffset val="100"/>
        <c:noMultiLvlLbl val="0"/>
      </c:catAx>
      <c:valAx>
        <c:axId val="1616157055"/>
        <c:scaling>
          <c:orientation val="minMax"/>
          <c:max val="5"/>
          <c:min val="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472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Region Clusters (Bubble Scatter Plot)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Clusters</c:v>
          </c:tx>
          <c:spPr>
            <a:ln w="38100">
              <a:noFill/>
            </a:ln>
          </c:spPr>
          <c:marker>
            <c:symbol val="circle"/>
            <c:size val="15"/>
            <c:spPr>
              <a:solidFill>
                <a:srgbClr val="0000FF"/>
              </a:solidFill>
            </c:spPr>
          </c:marker>
          <c:xVal>
            <c:numRef>
              <c:f>Index!$B$2:$B$26</c:f>
              <c:numCache>
                <c:formatCode>General</c:formatCode>
                <c:ptCount val="25"/>
                <c:pt idx="0">
                  <c:v>-0.26124010559920818</c:v>
                </c:pt>
                <c:pt idx="1">
                  <c:v>-0.52964723542488568</c:v>
                </c:pt>
                <c:pt idx="2">
                  <c:v>1.2425834070846675</c:v>
                </c:pt>
                <c:pt idx="3">
                  <c:v>0.32019928063985431</c:v>
                </c:pt>
                <c:pt idx="4">
                  <c:v>-0.42897137055647794</c:v>
                </c:pt>
                <c:pt idx="5">
                  <c:v>-0.48422188193151555</c:v>
                </c:pt>
                <c:pt idx="6">
                  <c:v>0.38815689321525337</c:v>
                </c:pt>
                <c:pt idx="7">
                  <c:v>-0.38138445946412164</c:v>
                </c:pt>
                <c:pt idx="8">
                  <c:v>0.36907178852615852</c:v>
                </c:pt>
                <c:pt idx="9">
                  <c:v>-0.41200524132463689</c:v>
                </c:pt>
                <c:pt idx="10">
                  <c:v>-0.62057671179898111</c:v>
                </c:pt>
                <c:pt idx="11">
                  <c:v>4.2907204561752579E-2</c:v>
                </c:pt>
                <c:pt idx="12">
                  <c:v>6.313949549679139E-2</c:v>
                </c:pt>
                <c:pt idx="13">
                  <c:v>0.21666440254654185</c:v>
                </c:pt>
                <c:pt idx="14">
                  <c:v>8.0660724000227307E-2</c:v>
                </c:pt>
                <c:pt idx="15">
                  <c:v>-0.41449842962841155</c:v>
                </c:pt>
                <c:pt idx="16">
                  <c:v>-0.31729859975159358</c:v>
                </c:pt>
                <c:pt idx="17">
                  <c:v>-0.67290474809820267</c:v>
                </c:pt>
                <c:pt idx="18">
                  <c:v>0.14293067705472479</c:v>
                </c:pt>
                <c:pt idx="19">
                  <c:v>-0.52103413345298744</c:v>
                </c:pt>
                <c:pt idx="20">
                  <c:v>-0.40277650333267256</c:v>
                </c:pt>
                <c:pt idx="21">
                  <c:v>-0.35871197416715805</c:v>
                </c:pt>
                <c:pt idx="22">
                  <c:v>-0.67773127455986404</c:v>
                </c:pt>
                <c:pt idx="23">
                  <c:v>-0.46667107142722886</c:v>
                </c:pt>
                <c:pt idx="24">
                  <c:v>4.0833598673919766</c:v>
                </c:pt>
              </c:numCache>
            </c:numRef>
          </c:xVal>
          <c:yVal>
            <c:numRef>
              <c:f>Index!$C$2:$C$26</c:f>
              <c:numCache>
                <c:formatCode>General</c:formatCode>
                <c:ptCount val="25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2D9-4053-965E-B12F4B9B7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1920256"/>
        <c:axId val="1651922176"/>
      </c:scatterChart>
      <c:valAx>
        <c:axId val="1651920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Index 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1922176"/>
        <c:crosses val="autoZero"/>
        <c:crossBetween val="midCat"/>
      </c:valAx>
      <c:valAx>
        <c:axId val="16519221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Cluster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192025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Independent Var 1 (X1)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xVal>
            <c:numRef>
              <c:f>Regression!$B$2:$B$151</c:f>
              <c:numCache>
                <c:formatCode>0</c:formatCode>
                <c:ptCount val="150"/>
                <c:pt idx="0">
                  <c:v>34931</c:v>
                </c:pt>
                <c:pt idx="1">
                  <c:v>30013</c:v>
                </c:pt>
                <c:pt idx="2">
                  <c:v>44366</c:v>
                </c:pt>
                <c:pt idx="3">
                  <c:v>20927</c:v>
                </c:pt>
                <c:pt idx="4">
                  <c:v>32979</c:v>
                </c:pt>
                <c:pt idx="5">
                  <c:v>26856</c:v>
                </c:pt>
                <c:pt idx="6">
                  <c:v>43462</c:v>
                </c:pt>
                <c:pt idx="7">
                  <c:v>31719</c:v>
                </c:pt>
                <c:pt idx="8">
                  <c:v>40127</c:v>
                </c:pt>
                <c:pt idx="9">
                  <c:v>32745</c:v>
                </c:pt>
                <c:pt idx="10">
                  <c:v>13793</c:v>
                </c:pt>
                <c:pt idx="11">
                  <c:v>35325</c:v>
                </c:pt>
                <c:pt idx="12">
                  <c:v>34971</c:v>
                </c:pt>
                <c:pt idx="13">
                  <c:v>39132</c:v>
                </c:pt>
                <c:pt idx="14">
                  <c:v>37938</c:v>
                </c:pt>
                <c:pt idx="15">
                  <c:v>31295</c:v>
                </c:pt>
                <c:pt idx="16">
                  <c:v>36084</c:v>
                </c:pt>
                <c:pt idx="17">
                  <c:v>28195</c:v>
                </c:pt>
                <c:pt idx="18">
                  <c:v>38197</c:v>
                </c:pt>
                <c:pt idx="19">
                  <c:v>32968</c:v>
                </c:pt>
                <c:pt idx="20">
                  <c:v>34395</c:v>
                </c:pt>
                <c:pt idx="21">
                  <c:v>32327</c:v>
                </c:pt>
                <c:pt idx="22">
                  <c:v>28361</c:v>
                </c:pt>
                <c:pt idx="23">
                  <c:v>33231</c:v>
                </c:pt>
                <c:pt idx="24">
                  <c:v>92254</c:v>
                </c:pt>
                <c:pt idx="25">
                  <c:v>45436</c:v>
                </c:pt>
                <c:pt idx="26">
                  <c:v>38514</c:v>
                </c:pt>
                <c:pt idx="27">
                  <c:v>57333</c:v>
                </c:pt>
                <c:pt idx="28">
                  <c:v>25278</c:v>
                </c:pt>
                <c:pt idx="29">
                  <c:v>42684</c:v>
                </c:pt>
                <c:pt idx="30">
                  <c:v>33891</c:v>
                </c:pt>
                <c:pt idx="31">
                  <c:v>54261</c:v>
                </c:pt>
                <c:pt idx="32">
                  <c:v>40580</c:v>
                </c:pt>
                <c:pt idx="33">
                  <c:v>50664</c:v>
                </c:pt>
                <c:pt idx="34">
                  <c:v>42227</c:v>
                </c:pt>
                <c:pt idx="35">
                  <c:v>16416</c:v>
                </c:pt>
                <c:pt idx="36">
                  <c:v>44981</c:v>
                </c:pt>
                <c:pt idx="37">
                  <c:v>45356</c:v>
                </c:pt>
                <c:pt idx="38">
                  <c:v>50111</c:v>
                </c:pt>
                <c:pt idx="39">
                  <c:v>48663</c:v>
                </c:pt>
                <c:pt idx="40">
                  <c:v>40325</c:v>
                </c:pt>
                <c:pt idx="41">
                  <c:v>45852</c:v>
                </c:pt>
                <c:pt idx="42">
                  <c:v>36204</c:v>
                </c:pt>
                <c:pt idx="43">
                  <c:v>48370</c:v>
                </c:pt>
                <c:pt idx="44">
                  <c:v>41695</c:v>
                </c:pt>
                <c:pt idx="45">
                  <c:v>43638</c:v>
                </c:pt>
                <c:pt idx="46">
                  <c:v>41854</c:v>
                </c:pt>
                <c:pt idx="47">
                  <c:v>36215</c:v>
                </c:pt>
                <c:pt idx="48">
                  <c:v>42501</c:v>
                </c:pt>
                <c:pt idx="49">
                  <c:v>118208</c:v>
                </c:pt>
                <c:pt idx="50">
                  <c:v>54992</c:v>
                </c:pt>
                <c:pt idx="51">
                  <c:v>46475</c:v>
                </c:pt>
                <c:pt idx="52">
                  <c:v>72883</c:v>
                </c:pt>
                <c:pt idx="53">
                  <c:v>31888</c:v>
                </c:pt>
                <c:pt idx="54">
                  <c:v>52136</c:v>
                </c:pt>
                <c:pt idx="55">
                  <c:v>40472</c:v>
                </c:pt>
                <c:pt idx="56">
                  <c:v>67983</c:v>
                </c:pt>
                <c:pt idx="57">
                  <c:v>48368</c:v>
                </c:pt>
                <c:pt idx="58">
                  <c:v>63498</c:v>
                </c:pt>
                <c:pt idx="59">
                  <c:v>51018</c:v>
                </c:pt>
                <c:pt idx="60">
                  <c:v>20619</c:v>
                </c:pt>
                <c:pt idx="61">
                  <c:v>55511</c:v>
                </c:pt>
                <c:pt idx="62">
                  <c:v>55544</c:v>
                </c:pt>
                <c:pt idx="63">
                  <c:v>61166</c:v>
                </c:pt>
                <c:pt idx="64">
                  <c:v>60218</c:v>
                </c:pt>
                <c:pt idx="65">
                  <c:v>47729</c:v>
                </c:pt>
                <c:pt idx="66">
                  <c:v>55934</c:v>
                </c:pt>
                <c:pt idx="67">
                  <c:v>43513</c:v>
                </c:pt>
                <c:pt idx="68">
                  <c:v>60118</c:v>
                </c:pt>
                <c:pt idx="69">
                  <c:v>50109</c:v>
                </c:pt>
                <c:pt idx="70">
                  <c:v>52488</c:v>
                </c:pt>
                <c:pt idx="71">
                  <c:v>50293</c:v>
                </c:pt>
                <c:pt idx="72">
                  <c:v>42850</c:v>
                </c:pt>
                <c:pt idx="73">
                  <c:v>50895</c:v>
                </c:pt>
                <c:pt idx="74">
                  <c:v>141174</c:v>
                </c:pt>
                <c:pt idx="75">
                  <c:v>65503</c:v>
                </c:pt>
                <c:pt idx="76">
                  <c:v>53990</c:v>
                </c:pt>
                <c:pt idx="77">
                  <c:v>89042</c:v>
                </c:pt>
                <c:pt idx="78">
                  <c:v>39843</c:v>
                </c:pt>
                <c:pt idx="79">
                  <c:v>62571</c:v>
                </c:pt>
                <c:pt idx="80">
                  <c:v>47852</c:v>
                </c:pt>
                <c:pt idx="81">
                  <c:v>76062</c:v>
                </c:pt>
                <c:pt idx="82">
                  <c:v>56514</c:v>
                </c:pt>
                <c:pt idx="83">
                  <c:v>76232</c:v>
                </c:pt>
                <c:pt idx="84">
                  <c:v>58461</c:v>
                </c:pt>
                <c:pt idx="85">
                  <c:v>24975</c:v>
                </c:pt>
                <c:pt idx="86">
                  <c:v>67353</c:v>
                </c:pt>
                <c:pt idx="87">
                  <c:v>64700</c:v>
                </c:pt>
                <c:pt idx="88">
                  <c:v>75288</c:v>
                </c:pt>
                <c:pt idx="89">
                  <c:v>72843</c:v>
                </c:pt>
                <c:pt idx="90">
                  <c:v>55917</c:v>
                </c:pt>
                <c:pt idx="91">
                  <c:v>65932</c:v>
                </c:pt>
                <c:pt idx="92">
                  <c:v>50536</c:v>
                </c:pt>
                <c:pt idx="93">
                  <c:v>66547</c:v>
                </c:pt>
                <c:pt idx="94">
                  <c:v>58129</c:v>
                </c:pt>
                <c:pt idx="95">
                  <c:v>58934</c:v>
                </c:pt>
                <c:pt idx="96">
                  <c:v>59626</c:v>
                </c:pt>
                <c:pt idx="97">
                  <c:v>49142</c:v>
                </c:pt>
                <c:pt idx="98">
                  <c:v>59972</c:v>
                </c:pt>
                <c:pt idx="99">
                  <c:v>173677</c:v>
                </c:pt>
                <c:pt idx="100">
                  <c:v>70939</c:v>
                </c:pt>
                <c:pt idx="101">
                  <c:v>57973</c:v>
                </c:pt>
                <c:pt idx="102">
                  <c:v>94804</c:v>
                </c:pt>
                <c:pt idx="103">
                  <c:v>42219</c:v>
                </c:pt>
                <c:pt idx="104">
                  <c:v>66651</c:v>
                </c:pt>
                <c:pt idx="105">
                  <c:v>52379</c:v>
                </c:pt>
                <c:pt idx="106">
                  <c:v>83309</c:v>
                </c:pt>
                <c:pt idx="107">
                  <c:v>61088</c:v>
                </c:pt>
                <c:pt idx="108">
                  <c:v>80274</c:v>
                </c:pt>
                <c:pt idx="109">
                  <c:v>64510</c:v>
                </c:pt>
                <c:pt idx="110">
                  <c:v>27274</c:v>
                </c:pt>
                <c:pt idx="111">
                  <c:v>73092</c:v>
                </c:pt>
                <c:pt idx="112">
                  <c:v>69884</c:v>
                </c:pt>
                <c:pt idx="113">
                  <c:v>82007</c:v>
                </c:pt>
                <c:pt idx="114">
                  <c:v>78813</c:v>
                </c:pt>
                <c:pt idx="115">
                  <c:v>59350</c:v>
                </c:pt>
                <c:pt idx="116">
                  <c:v>71955</c:v>
                </c:pt>
                <c:pt idx="117">
                  <c:v>55776</c:v>
                </c:pt>
                <c:pt idx="118">
                  <c:v>75923</c:v>
                </c:pt>
                <c:pt idx="119">
                  <c:v>63853</c:v>
                </c:pt>
                <c:pt idx="120">
                  <c:v>65411</c:v>
                </c:pt>
                <c:pt idx="121">
                  <c:v>64852</c:v>
                </c:pt>
                <c:pt idx="122">
                  <c:v>54178</c:v>
                </c:pt>
                <c:pt idx="123">
                  <c:v>65815</c:v>
                </c:pt>
                <c:pt idx="124">
                  <c:v>182547</c:v>
                </c:pt>
                <c:pt idx="125">
                  <c:v>81970</c:v>
                </c:pt>
                <c:pt idx="126">
                  <c:v>65481</c:v>
                </c:pt>
                <c:pt idx="127">
                  <c:v>107671</c:v>
                </c:pt>
                <c:pt idx="128">
                  <c:v>47604</c:v>
                </c:pt>
                <c:pt idx="129">
                  <c:v>76107</c:v>
                </c:pt>
                <c:pt idx="130">
                  <c:v>58844</c:v>
                </c:pt>
                <c:pt idx="131">
                  <c:v>93475</c:v>
                </c:pt>
                <c:pt idx="132">
                  <c:v>68561</c:v>
                </c:pt>
                <c:pt idx="133">
                  <c:v>96293</c:v>
                </c:pt>
                <c:pt idx="134">
                  <c:v>73146</c:v>
                </c:pt>
                <c:pt idx="135">
                  <c:v>31390</c:v>
                </c:pt>
                <c:pt idx="136">
                  <c:v>85195</c:v>
                </c:pt>
                <c:pt idx="137">
                  <c:v>81870</c:v>
                </c:pt>
                <c:pt idx="138">
                  <c:v>93001</c:v>
                </c:pt>
                <c:pt idx="139">
                  <c:v>92260</c:v>
                </c:pt>
                <c:pt idx="140">
                  <c:v>67727</c:v>
                </c:pt>
                <c:pt idx="141">
                  <c:v>83307</c:v>
                </c:pt>
                <c:pt idx="142">
                  <c:v>65084</c:v>
                </c:pt>
                <c:pt idx="143">
                  <c:v>88863</c:v>
                </c:pt>
                <c:pt idx="144">
                  <c:v>73624</c:v>
                </c:pt>
                <c:pt idx="145">
                  <c:v>75606</c:v>
                </c:pt>
                <c:pt idx="146">
                  <c:v>76673</c:v>
                </c:pt>
                <c:pt idx="147">
                  <c:v>61612</c:v>
                </c:pt>
                <c:pt idx="148">
                  <c:v>73742</c:v>
                </c:pt>
                <c:pt idx="149">
                  <c:v>211620</c:v>
                </c:pt>
              </c:numCache>
            </c:numRef>
          </c:xVal>
          <c:yVal>
            <c:numRef>
              <c:f>Regression!$J$28:$J$177</c:f>
              <c:numCache>
                <c:formatCode>General</c:formatCode>
                <c:ptCount val="150"/>
                <c:pt idx="0">
                  <c:v>21694.439666115584</c:v>
                </c:pt>
                <c:pt idx="1">
                  <c:v>16396.69984936398</c:v>
                </c:pt>
                <c:pt idx="2">
                  <c:v>-22650.318567272334</c:v>
                </c:pt>
                <c:pt idx="3">
                  <c:v>17283.503809355927</c:v>
                </c:pt>
                <c:pt idx="4">
                  <c:v>21497.688132546577</c:v>
                </c:pt>
                <c:pt idx="5">
                  <c:v>-662.47783317208814</c:v>
                </c:pt>
                <c:pt idx="6">
                  <c:v>-19373.682989259949</c:v>
                </c:pt>
                <c:pt idx="7">
                  <c:v>15766.69389709994</c:v>
                </c:pt>
                <c:pt idx="8">
                  <c:v>-4668.2658938745153</c:v>
                </c:pt>
                <c:pt idx="9">
                  <c:v>13712.39476522895</c:v>
                </c:pt>
                <c:pt idx="10">
                  <c:v>24157.76159127718</c:v>
                </c:pt>
                <c:pt idx="11">
                  <c:v>15734.398133581592</c:v>
                </c:pt>
                <c:pt idx="12">
                  <c:v>-25284.876397386077</c:v>
                </c:pt>
                <c:pt idx="13">
                  <c:v>-18691.776852288691</c:v>
                </c:pt>
                <c:pt idx="14">
                  <c:v>41207.846209810814</c:v>
                </c:pt>
                <c:pt idx="15">
                  <c:v>20072.493012018211</c:v>
                </c:pt>
                <c:pt idx="16">
                  <c:v>16971.056559140823</c:v>
                </c:pt>
                <c:pt idx="17">
                  <c:v>25092.654622458875</c:v>
                </c:pt>
                <c:pt idx="18">
                  <c:v>30264.88878730229</c:v>
                </c:pt>
                <c:pt idx="19">
                  <c:v>12292.328564162723</c:v>
                </c:pt>
                <c:pt idx="20">
                  <c:v>23045.045170110308</c:v>
                </c:pt>
                <c:pt idx="21">
                  <c:v>21641.130579939352</c:v>
                </c:pt>
                <c:pt idx="22">
                  <c:v>19785.577604778482</c:v>
                </c:pt>
                <c:pt idx="23">
                  <c:v>23262.676524883362</c:v>
                </c:pt>
                <c:pt idx="24">
                  <c:v>-98575.586022675387</c:v>
                </c:pt>
                <c:pt idx="25">
                  <c:v>14423.945683179234</c:v>
                </c:pt>
                <c:pt idx="26">
                  <c:v>12336.24222413369</c:v>
                </c:pt>
                <c:pt idx="27">
                  <c:v>-13617.611328190716</c:v>
                </c:pt>
                <c:pt idx="28">
                  <c:v>7490.0727425869263</c:v>
                </c:pt>
                <c:pt idx="29">
                  <c:v>13416.476730127542</c:v>
                </c:pt>
                <c:pt idx="30">
                  <c:v>-11067.174449188722</c:v>
                </c:pt>
                <c:pt idx="31">
                  <c:v>-34659.404065818497</c:v>
                </c:pt>
                <c:pt idx="32">
                  <c:v>6675.8616824635756</c:v>
                </c:pt>
                <c:pt idx="33">
                  <c:v>-7010.0349477070267</c:v>
                </c:pt>
                <c:pt idx="34">
                  <c:v>1575.8369116452159</c:v>
                </c:pt>
                <c:pt idx="35">
                  <c:v>13468.272345454621</c:v>
                </c:pt>
                <c:pt idx="36">
                  <c:v>12709.298834655317</c:v>
                </c:pt>
                <c:pt idx="37">
                  <c:v>-40772.508122642161</c:v>
                </c:pt>
                <c:pt idx="38">
                  <c:v>-29936.769323899964</c:v>
                </c:pt>
                <c:pt idx="39">
                  <c:v>40419.547995002853</c:v>
                </c:pt>
                <c:pt idx="40">
                  <c:v>10076.202195481979</c:v>
                </c:pt>
                <c:pt idx="41">
                  <c:v>5061.8677892879277</c:v>
                </c:pt>
                <c:pt idx="42">
                  <c:v>17557.254406006283</c:v>
                </c:pt>
                <c:pt idx="43">
                  <c:v>29550.069395306055</c:v>
                </c:pt>
                <c:pt idx="44">
                  <c:v>1355.4583359613825</c:v>
                </c:pt>
                <c:pt idx="45">
                  <c:v>14988.284851904646</c:v>
                </c:pt>
                <c:pt idx="46">
                  <c:v>10890.174289423921</c:v>
                </c:pt>
                <c:pt idx="47">
                  <c:v>11416.9805841946</c:v>
                </c:pt>
                <c:pt idx="48">
                  <c:v>13532.141755464967</c:v>
                </c:pt>
                <c:pt idx="49">
                  <c:v>-68487.783883711556</c:v>
                </c:pt>
                <c:pt idx="50">
                  <c:v>8285.6211871350824</c:v>
                </c:pt>
                <c:pt idx="51">
                  <c:v>2232.278858167665</c:v>
                </c:pt>
                <c:pt idx="52">
                  <c:v>-1868.5402452092967</c:v>
                </c:pt>
                <c:pt idx="53">
                  <c:v>11427.116685314075</c:v>
                </c:pt>
                <c:pt idx="54">
                  <c:v>8857.4879337063321</c:v>
                </c:pt>
                <c:pt idx="55">
                  <c:v>-22854.715992770245</c:v>
                </c:pt>
                <c:pt idx="56">
                  <c:v>-49470.783259764023</c:v>
                </c:pt>
                <c:pt idx="57">
                  <c:v>-2144.4420562703745</c:v>
                </c:pt>
                <c:pt idx="58">
                  <c:v>6094.9689505474817</c:v>
                </c:pt>
                <c:pt idx="59">
                  <c:v>-7264.6860061855841</c:v>
                </c:pt>
                <c:pt idx="60">
                  <c:v>6009.2093114737363</c:v>
                </c:pt>
                <c:pt idx="61">
                  <c:v>10879.979578436963</c:v>
                </c:pt>
                <c:pt idx="62">
                  <c:v>-57086.473700349976</c:v>
                </c:pt>
                <c:pt idx="63">
                  <c:v>-24968.520332759566</c:v>
                </c:pt>
                <c:pt idx="64">
                  <c:v>38789.646747516235</c:v>
                </c:pt>
                <c:pt idx="65">
                  <c:v>-124.10262178423</c:v>
                </c:pt>
                <c:pt idx="66">
                  <c:v>-4770.5948473656026</c:v>
                </c:pt>
                <c:pt idx="67">
                  <c:v>7791.1603970095239</c:v>
                </c:pt>
                <c:pt idx="68">
                  <c:v>47649.802172336727</c:v>
                </c:pt>
                <c:pt idx="69">
                  <c:v>-7064.8580800668424</c:v>
                </c:pt>
                <c:pt idx="70">
                  <c:v>3470.8048203430371</c:v>
                </c:pt>
                <c:pt idx="71">
                  <c:v>8962.2831302286795</c:v>
                </c:pt>
                <c:pt idx="72">
                  <c:v>-239.38037387809891</c:v>
                </c:pt>
                <c:pt idx="73">
                  <c:v>7292.2433700756956</c:v>
                </c:pt>
                <c:pt idx="74">
                  <c:v>-14960.668255430297</c:v>
                </c:pt>
                <c:pt idx="75">
                  <c:v>6812.1967694490013</c:v>
                </c:pt>
                <c:pt idx="76">
                  <c:v>2786.6885271785868</c:v>
                </c:pt>
                <c:pt idx="77">
                  <c:v>-15815.961005733931</c:v>
                </c:pt>
                <c:pt idx="78">
                  <c:v>11605.616707202571</c:v>
                </c:pt>
                <c:pt idx="79">
                  <c:v>-981.78843466953549</c:v>
                </c:pt>
                <c:pt idx="80">
                  <c:v>-22349.486827838016</c:v>
                </c:pt>
                <c:pt idx="81">
                  <c:v>-51620.4054896296</c:v>
                </c:pt>
                <c:pt idx="82">
                  <c:v>-7540.7319885014585</c:v>
                </c:pt>
                <c:pt idx="83">
                  <c:v>2381.1972827246354</c:v>
                </c:pt>
                <c:pt idx="84">
                  <c:v>-17701.214374078583</c:v>
                </c:pt>
                <c:pt idx="85">
                  <c:v>279.51612013923295</c:v>
                </c:pt>
                <c:pt idx="86">
                  <c:v>18560.897675865912</c:v>
                </c:pt>
                <c:pt idx="87">
                  <c:v>-65356.440910771023</c:v>
                </c:pt>
                <c:pt idx="88">
                  <c:v>-20714.587189397716</c:v>
                </c:pt>
                <c:pt idx="89">
                  <c:v>29894.585562855122</c:v>
                </c:pt>
                <c:pt idx="90">
                  <c:v>-6932.5651423739037</c:v>
                </c:pt>
                <c:pt idx="91">
                  <c:v>-15076.182199482108</c:v>
                </c:pt>
                <c:pt idx="92">
                  <c:v>4870.8297032921328</c:v>
                </c:pt>
                <c:pt idx="93">
                  <c:v>40861.326234565</c:v>
                </c:pt>
                <c:pt idx="94">
                  <c:v>-14307.260356859973</c:v>
                </c:pt>
                <c:pt idx="95">
                  <c:v>-3082.9387452053343</c:v>
                </c:pt>
                <c:pt idx="96">
                  <c:v>1474.5305189628853</c:v>
                </c:pt>
                <c:pt idx="97">
                  <c:v>-3403.1435093307664</c:v>
                </c:pt>
                <c:pt idx="98">
                  <c:v>-1767.4634757294843</c:v>
                </c:pt>
                <c:pt idx="99">
                  <c:v>-40455.938028577133</c:v>
                </c:pt>
                <c:pt idx="100">
                  <c:v>8244.5305351880961</c:v>
                </c:pt>
                <c:pt idx="101">
                  <c:v>-468.11524171690689</c:v>
                </c:pt>
                <c:pt idx="102">
                  <c:v>-12096.463790864334</c:v>
                </c:pt>
                <c:pt idx="103">
                  <c:v>27142.93384316453</c:v>
                </c:pt>
                <c:pt idx="104">
                  <c:v>-1820.4607502285944</c:v>
                </c:pt>
                <c:pt idx="105">
                  <c:v>-29219.769072854993</c:v>
                </c:pt>
                <c:pt idx="106">
                  <c:v>-48962.387575377536</c:v>
                </c:pt>
                <c:pt idx="107">
                  <c:v>-7482.3170589928923</c:v>
                </c:pt>
                <c:pt idx="108">
                  <c:v>22276.540514563152</c:v>
                </c:pt>
                <c:pt idx="109">
                  <c:v>-29211.980073341794</c:v>
                </c:pt>
                <c:pt idx="110">
                  <c:v>2152.6774839090212</c:v>
                </c:pt>
                <c:pt idx="111">
                  <c:v>25819.662248730747</c:v>
                </c:pt>
                <c:pt idx="112">
                  <c:v>-70338.595803769131</c:v>
                </c:pt>
                <c:pt idx="113">
                  <c:v>-6023.8971738592372</c:v>
                </c:pt>
                <c:pt idx="114">
                  <c:v>17692.19779540223</c:v>
                </c:pt>
                <c:pt idx="115">
                  <c:v>-11406.940901687136</c:v>
                </c:pt>
                <c:pt idx="116">
                  <c:v>-21906.698671279912</c:v>
                </c:pt>
                <c:pt idx="117">
                  <c:v>633.23014431190677</c:v>
                </c:pt>
                <c:pt idx="118">
                  <c:v>36252.558183610789</c:v>
                </c:pt>
                <c:pt idx="119">
                  <c:v>-15335.727219231776</c:v>
                </c:pt>
                <c:pt idx="120">
                  <c:v>-1240.1955816902628</c:v>
                </c:pt>
                <c:pt idx="121">
                  <c:v>1438.3360012496851</c:v>
                </c:pt>
                <c:pt idx="122">
                  <c:v>-6045.3432080962084</c:v>
                </c:pt>
                <c:pt idx="123">
                  <c:v>-6752.8818241745175</c:v>
                </c:pt>
                <c:pt idx="124">
                  <c:v>11356.074857532163</c:v>
                </c:pt>
                <c:pt idx="125">
                  <c:v>21028.803321955493</c:v>
                </c:pt>
                <c:pt idx="126">
                  <c:v>-12180.801787856995</c:v>
                </c:pt>
                <c:pt idx="127">
                  <c:v>45845.254093555501</c:v>
                </c:pt>
                <c:pt idx="128">
                  <c:v>6276.6455526726786</c:v>
                </c:pt>
                <c:pt idx="129">
                  <c:v>-2917.4018334192806</c:v>
                </c:pt>
                <c:pt idx="130">
                  <c:v>-44614.8302044312</c:v>
                </c:pt>
                <c:pt idx="131">
                  <c:v>-54914.983807107725</c:v>
                </c:pt>
                <c:pt idx="132">
                  <c:v>-5597.2796072362544</c:v>
                </c:pt>
                <c:pt idx="133">
                  <c:v>27281.32955239102</c:v>
                </c:pt>
                <c:pt idx="134">
                  <c:v>-26832.093895880753</c:v>
                </c:pt>
                <c:pt idx="135">
                  <c:v>5376.5579271852039</c:v>
                </c:pt>
                <c:pt idx="136">
                  <c:v>42526.596438025736</c:v>
                </c:pt>
                <c:pt idx="137">
                  <c:v>-96010.519227387063</c:v>
                </c:pt>
                <c:pt idx="138">
                  <c:v>16033.922362164187</c:v>
                </c:pt>
                <c:pt idx="139">
                  <c:v>48614.118069918302</c:v>
                </c:pt>
                <c:pt idx="140">
                  <c:v>-21834.255782583146</c:v>
                </c:pt>
                <c:pt idx="141">
                  <c:v>-24427.008046691844</c:v>
                </c:pt>
                <c:pt idx="142">
                  <c:v>-6139.7518061006995</c:v>
                </c:pt>
                <c:pt idx="143">
                  <c:v>61480.830935321894</c:v>
                </c:pt>
                <c:pt idx="144">
                  <c:v>-18978.948353148444</c:v>
                </c:pt>
                <c:pt idx="145">
                  <c:v>-5572.4309781844204</c:v>
                </c:pt>
                <c:pt idx="146">
                  <c:v>-2243.2300749143469</c:v>
                </c:pt>
                <c:pt idx="147">
                  <c:v>-15809.187195586448</c:v>
                </c:pt>
                <c:pt idx="148">
                  <c:v>-6262.900563873045</c:v>
                </c:pt>
                <c:pt idx="149">
                  <c:v>156463.48690183368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4E-4904-B0BF-88B07AC49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4633183"/>
        <c:axId val="1654634143"/>
      </c:scatterChart>
      <c:valAx>
        <c:axId val="1654633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Independent Var 1 (X1)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4634143"/>
        <c:crosses val="autoZero"/>
        <c:crossBetween val="midCat"/>
      </c:valAx>
      <c:valAx>
        <c:axId val="165463414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463318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Independent Var 2 (X2)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xVal>
            <c:numRef>
              <c:f>Regression!$C$2:$C$151</c:f>
              <c:numCache>
                <c:formatCode>0</c:formatCode>
                <c:ptCount val="150"/>
                <c:pt idx="0">
                  <c:v>983</c:v>
                </c:pt>
                <c:pt idx="1">
                  <c:v>612</c:v>
                </c:pt>
                <c:pt idx="2">
                  <c:v>5865</c:v>
                </c:pt>
                <c:pt idx="3">
                  <c:v>3431</c:v>
                </c:pt>
                <c:pt idx="4">
                  <c:v>485</c:v>
                </c:pt>
                <c:pt idx="5">
                  <c:v>1212</c:v>
                </c:pt>
                <c:pt idx="6">
                  <c:v>2293</c:v>
                </c:pt>
                <c:pt idx="7">
                  <c:v>574</c:v>
                </c:pt>
                <c:pt idx="8">
                  <c:v>1705</c:v>
                </c:pt>
                <c:pt idx="9">
                  <c:v>427</c:v>
                </c:pt>
                <c:pt idx="10">
                  <c:v>436</c:v>
                </c:pt>
                <c:pt idx="11">
                  <c:v>1276</c:v>
                </c:pt>
                <c:pt idx="12">
                  <c:v>1666</c:v>
                </c:pt>
                <c:pt idx="13">
                  <c:v>1521</c:v>
                </c:pt>
                <c:pt idx="14">
                  <c:v>1436</c:v>
                </c:pt>
                <c:pt idx="15">
                  <c:v>318</c:v>
                </c:pt>
                <c:pt idx="16">
                  <c:v>542</c:v>
                </c:pt>
                <c:pt idx="17">
                  <c:v>294</c:v>
                </c:pt>
                <c:pt idx="18">
                  <c:v>1028</c:v>
                </c:pt>
                <c:pt idx="19">
                  <c:v>247</c:v>
                </c:pt>
                <c:pt idx="20">
                  <c:v>319</c:v>
                </c:pt>
                <c:pt idx="21">
                  <c:v>474</c:v>
                </c:pt>
                <c:pt idx="22">
                  <c:v>119</c:v>
                </c:pt>
                <c:pt idx="23">
                  <c:v>433</c:v>
                </c:pt>
                <c:pt idx="24">
                  <c:v>8569</c:v>
                </c:pt>
                <c:pt idx="25">
                  <c:v>1218</c:v>
                </c:pt>
                <c:pt idx="26">
                  <c:v>689</c:v>
                </c:pt>
                <c:pt idx="27">
                  <c:v>7053</c:v>
                </c:pt>
                <c:pt idx="28">
                  <c:v>4433</c:v>
                </c:pt>
                <c:pt idx="29">
                  <c:v>590</c:v>
                </c:pt>
                <c:pt idx="30">
                  <c:v>1446</c:v>
                </c:pt>
                <c:pt idx="31">
                  <c:v>2981</c:v>
                </c:pt>
                <c:pt idx="32">
                  <c:v>665</c:v>
                </c:pt>
                <c:pt idx="33">
                  <c:v>1748</c:v>
                </c:pt>
                <c:pt idx="34">
                  <c:v>416</c:v>
                </c:pt>
                <c:pt idx="35">
                  <c:v>234</c:v>
                </c:pt>
                <c:pt idx="36">
                  <c:v>1585</c:v>
                </c:pt>
                <c:pt idx="37">
                  <c:v>1901</c:v>
                </c:pt>
                <c:pt idx="38">
                  <c:v>1814</c:v>
                </c:pt>
                <c:pt idx="39">
                  <c:v>1865</c:v>
                </c:pt>
                <c:pt idx="40">
                  <c:v>383</c:v>
                </c:pt>
                <c:pt idx="41">
                  <c:v>673</c:v>
                </c:pt>
                <c:pt idx="42">
                  <c:v>380</c:v>
                </c:pt>
                <c:pt idx="43">
                  <c:v>1192</c:v>
                </c:pt>
                <c:pt idx="44">
                  <c:v>289</c:v>
                </c:pt>
                <c:pt idx="45">
                  <c:v>468</c:v>
                </c:pt>
                <c:pt idx="46">
                  <c:v>618</c:v>
                </c:pt>
                <c:pt idx="47">
                  <c:v>150</c:v>
                </c:pt>
                <c:pt idx="48">
                  <c:v>625</c:v>
                </c:pt>
                <c:pt idx="49">
                  <c:v>9738</c:v>
                </c:pt>
                <c:pt idx="50">
                  <c:v>1429</c:v>
                </c:pt>
                <c:pt idx="51">
                  <c:v>720</c:v>
                </c:pt>
                <c:pt idx="52">
                  <c:v>7723</c:v>
                </c:pt>
                <c:pt idx="53">
                  <c:v>4845</c:v>
                </c:pt>
                <c:pt idx="54">
                  <c:v>662</c:v>
                </c:pt>
                <c:pt idx="55">
                  <c:v>1659</c:v>
                </c:pt>
                <c:pt idx="56">
                  <c:v>3377</c:v>
                </c:pt>
                <c:pt idx="57">
                  <c:v>871</c:v>
                </c:pt>
                <c:pt idx="58">
                  <c:v>1856</c:v>
                </c:pt>
                <c:pt idx="59">
                  <c:v>522</c:v>
                </c:pt>
                <c:pt idx="60">
                  <c:v>203</c:v>
                </c:pt>
                <c:pt idx="61">
                  <c:v>1896</c:v>
                </c:pt>
                <c:pt idx="62">
                  <c:v>2113</c:v>
                </c:pt>
                <c:pt idx="63">
                  <c:v>1668</c:v>
                </c:pt>
                <c:pt idx="64">
                  <c:v>1906</c:v>
                </c:pt>
                <c:pt idx="65">
                  <c:v>411</c:v>
                </c:pt>
                <c:pt idx="66">
                  <c:v>802</c:v>
                </c:pt>
                <c:pt idx="67">
                  <c:v>453</c:v>
                </c:pt>
                <c:pt idx="68">
                  <c:v>1279</c:v>
                </c:pt>
                <c:pt idx="69">
                  <c:v>270</c:v>
                </c:pt>
                <c:pt idx="70">
                  <c:v>638</c:v>
                </c:pt>
                <c:pt idx="71">
                  <c:v>786</c:v>
                </c:pt>
                <c:pt idx="72">
                  <c:v>200</c:v>
                </c:pt>
                <c:pt idx="73">
                  <c:v>755</c:v>
                </c:pt>
                <c:pt idx="74">
                  <c:v>10248</c:v>
                </c:pt>
                <c:pt idx="75">
                  <c:v>1455</c:v>
                </c:pt>
                <c:pt idx="76">
                  <c:v>694</c:v>
                </c:pt>
                <c:pt idx="77">
                  <c:v>7907</c:v>
                </c:pt>
                <c:pt idx="78">
                  <c:v>4632</c:v>
                </c:pt>
                <c:pt idx="79">
                  <c:v>719</c:v>
                </c:pt>
                <c:pt idx="80">
                  <c:v>1490</c:v>
                </c:pt>
                <c:pt idx="81">
                  <c:v>3081</c:v>
                </c:pt>
                <c:pt idx="82">
                  <c:v>911</c:v>
                </c:pt>
                <c:pt idx="83">
                  <c:v>1948</c:v>
                </c:pt>
                <c:pt idx="84">
                  <c:v>707</c:v>
                </c:pt>
                <c:pt idx="85">
                  <c:v>153</c:v>
                </c:pt>
                <c:pt idx="86">
                  <c:v>2202</c:v>
                </c:pt>
                <c:pt idx="87">
                  <c:v>2153</c:v>
                </c:pt>
                <c:pt idx="88">
                  <c:v>1384</c:v>
                </c:pt>
                <c:pt idx="89">
                  <c:v>2102</c:v>
                </c:pt>
                <c:pt idx="90">
                  <c:v>440</c:v>
                </c:pt>
                <c:pt idx="91">
                  <c:v>883</c:v>
                </c:pt>
                <c:pt idx="92">
                  <c:v>434</c:v>
                </c:pt>
                <c:pt idx="93">
                  <c:v>1415</c:v>
                </c:pt>
                <c:pt idx="94">
                  <c:v>268</c:v>
                </c:pt>
                <c:pt idx="95">
                  <c:v>642</c:v>
                </c:pt>
                <c:pt idx="96">
                  <c:v>864</c:v>
                </c:pt>
                <c:pt idx="97">
                  <c:v>214</c:v>
                </c:pt>
                <c:pt idx="98">
                  <c:v>807</c:v>
                </c:pt>
                <c:pt idx="99">
                  <c:v>12491</c:v>
                </c:pt>
                <c:pt idx="100">
                  <c:v>1378</c:v>
                </c:pt>
                <c:pt idx="101">
                  <c:v>643</c:v>
                </c:pt>
                <c:pt idx="102">
                  <c:v>7592</c:v>
                </c:pt>
                <c:pt idx="103">
                  <c:v>3935</c:v>
                </c:pt>
                <c:pt idx="104">
                  <c:v>681</c:v>
                </c:pt>
                <c:pt idx="105">
                  <c:v>1350</c:v>
                </c:pt>
                <c:pt idx="106">
                  <c:v>2923</c:v>
                </c:pt>
                <c:pt idx="107">
                  <c:v>758</c:v>
                </c:pt>
                <c:pt idx="108">
                  <c:v>1968</c:v>
                </c:pt>
                <c:pt idx="109">
                  <c:v>913</c:v>
                </c:pt>
                <c:pt idx="110">
                  <c:v>130</c:v>
                </c:pt>
                <c:pt idx="111">
                  <c:v>2323</c:v>
                </c:pt>
                <c:pt idx="112">
                  <c:v>2249</c:v>
                </c:pt>
                <c:pt idx="113">
                  <c:v>1360</c:v>
                </c:pt>
                <c:pt idx="114">
                  <c:v>2317</c:v>
                </c:pt>
                <c:pt idx="115">
                  <c:v>469</c:v>
                </c:pt>
                <c:pt idx="116">
                  <c:v>974</c:v>
                </c:pt>
                <c:pt idx="117">
                  <c:v>448</c:v>
                </c:pt>
                <c:pt idx="118">
                  <c:v>1471</c:v>
                </c:pt>
                <c:pt idx="119">
                  <c:v>281</c:v>
                </c:pt>
                <c:pt idx="120">
                  <c:v>663</c:v>
                </c:pt>
                <c:pt idx="121">
                  <c:v>811</c:v>
                </c:pt>
                <c:pt idx="122">
                  <c:v>168</c:v>
                </c:pt>
                <c:pt idx="123">
                  <c:v>891</c:v>
                </c:pt>
                <c:pt idx="124">
                  <c:v>12428</c:v>
                </c:pt>
                <c:pt idx="125">
                  <c:v>1309</c:v>
                </c:pt>
                <c:pt idx="126">
                  <c:v>833</c:v>
                </c:pt>
                <c:pt idx="127">
                  <c:v>12164</c:v>
                </c:pt>
                <c:pt idx="128">
                  <c:v>7038</c:v>
                </c:pt>
                <c:pt idx="129">
                  <c:v>772</c:v>
                </c:pt>
                <c:pt idx="130">
                  <c:v>1685</c:v>
                </c:pt>
                <c:pt idx="131">
                  <c:v>4741</c:v>
                </c:pt>
                <c:pt idx="132">
                  <c:v>1165</c:v>
                </c:pt>
                <c:pt idx="133">
                  <c:v>2551</c:v>
                </c:pt>
                <c:pt idx="134">
                  <c:v>1022</c:v>
                </c:pt>
                <c:pt idx="135">
                  <c:v>168</c:v>
                </c:pt>
                <c:pt idx="136">
                  <c:v>2933</c:v>
                </c:pt>
                <c:pt idx="137">
                  <c:v>3457</c:v>
                </c:pt>
                <c:pt idx="138">
                  <c:v>1698</c:v>
                </c:pt>
                <c:pt idx="139">
                  <c:v>3190</c:v>
                </c:pt>
                <c:pt idx="140">
                  <c:v>704</c:v>
                </c:pt>
                <c:pt idx="141">
                  <c:v>1061</c:v>
                </c:pt>
                <c:pt idx="142">
                  <c:v>679</c:v>
                </c:pt>
                <c:pt idx="143">
                  <c:v>1801</c:v>
                </c:pt>
                <c:pt idx="144">
                  <c:v>413</c:v>
                </c:pt>
                <c:pt idx="145">
                  <c:v>918</c:v>
                </c:pt>
                <c:pt idx="146">
                  <c:v>884</c:v>
                </c:pt>
                <c:pt idx="147">
                  <c:v>207</c:v>
                </c:pt>
                <c:pt idx="148">
                  <c:v>1190</c:v>
                </c:pt>
                <c:pt idx="149">
                  <c:v>15331</c:v>
                </c:pt>
              </c:numCache>
            </c:numRef>
          </c:xVal>
          <c:yVal>
            <c:numRef>
              <c:f>Regression!$J$28:$J$177</c:f>
              <c:numCache>
                <c:formatCode>General</c:formatCode>
                <c:ptCount val="150"/>
                <c:pt idx="0">
                  <c:v>21694.439666115584</c:v>
                </c:pt>
                <c:pt idx="1">
                  <c:v>16396.69984936398</c:v>
                </c:pt>
                <c:pt idx="2">
                  <c:v>-22650.318567272334</c:v>
                </c:pt>
                <c:pt idx="3">
                  <c:v>17283.503809355927</c:v>
                </c:pt>
                <c:pt idx="4">
                  <c:v>21497.688132546577</c:v>
                </c:pt>
                <c:pt idx="5">
                  <c:v>-662.47783317208814</c:v>
                </c:pt>
                <c:pt idx="6">
                  <c:v>-19373.682989259949</c:v>
                </c:pt>
                <c:pt idx="7">
                  <c:v>15766.69389709994</c:v>
                </c:pt>
                <c:pt idx="8">
                  <c:v>-4668.2658938745153</c:v>
                </c:pt>
                <c:pt idx="9">
                  <c:v>13712.39476522895</c:v>
                </c:pt>
                <c:pt idx="10">
                  <c:v>24157.76159127718</c:v>
                </c:pt>
                <c:pt idx="11">
                  <c:v>15734.398133581592</c:v>
                </c:pt>
                <c:pt idx="12">
                  <c:v>-25284.876397386077</c:v>
                </c:pt>
                <c:pt idx="13">
                  <c:v>-18691.776852288691</c:v>
                </c:pt>
                <c:pt idx="14">
                  <c:v>41207.846209810814</c:v>
                </c:pt>
                <c:pt idx="15">
                  <c:v>20072.493012018211</c:v>
                </c:pt>
                <c:pt idx="16">
                  <c:v>16971.056559140823</c:v>
                </c:pt>
                <c:pt idx="17">
                  <c:v>25092.654622458875</c:v>
                </c:pt>
                <c:pt idx="18">
                  <c:v>30264.88878730229</c:v>
                </c:pt>
                <c:pt idx="19">
                  <c:v>12292.328564162723</c:v>
                </c:pt>
                <c:pt idx="20">
                  <c:v>23045.045170110308</c:v>
                </c:pt>
                <c:pt idx="21">
                  <c:v>21641.130579939352</c:v>
                </c:pt>
                <c:pt idx="22">
                  <c:v>19785.577604778482</c:v>
                </c:pt>
                <c:pt idx="23">
                  <c:v>23262.676524883362</c:v>
                </c:pt>
                <c:pt idx="24">
                  <c:v>-98575.586022675387</c:v>
                </c:pt>
                <c:pt idx="25">
                  <c:v>14423.945683179234</c:v>
                </c:pt>
                <c:pt idx="26">
                  <c:v>12336.24222413369</c:v>
                </c:pt>
                <c:pt idx="27">
                  <c:v>-13617.611328190716</c:v>
                </c:pt>
                <c:pt idx="28">
                  <c:v>7490.0727425869263</c:v>
                </c:pt>
                <c:pt idx="29">
                  <c:v>13416.476730127542</c:v>
                </c:pt>
                <c:pt idx="30">
                  <c:v>-11067.174449188722</c:v>
                </c:pt>
                <c:pt idx="31">
                  <c:v>-34659.404065818497</c:v>
                </c:pt>
                <c:pt idx="32">
                  <c:v>6675.8616824635756</c:v>
                </c:pt>
                <c:pt idx="33">
                  <c:v>-7010.0349477070267</c:v>
                </c:pt>
                <c:pt idx="34">
                  <c:v>1575.8369116452159</c:v>
                </c:pt>
                <c:pt idx="35">
                  <c:v>13468.272345454621</c:v>
                </c:pt>
                <c:pt idx="36">
                  <c:v>12709.298834655317</c:v>
                </c:pt>
                <c:pt idx="37">
                  <c:v>-40772.508122642161</c:v>
                </c:pt>
                <c:pt idx="38">
                  <c:v>-29936.769323899964</c:v>
                </c:pt>
                <c:pt idx="39">
                  <c:v>40419.547995002853</c:v>
                </c:pt>
                <c:pt idx="40">
                  <c:v>10076.202195481979</c:v>
                </c:pt>
                <c:pt idx="41">
                  <c:v>5061.8677892879277</c:v>
                </c:pt>
                <c:pt idx="42">
                  <c:v>17557.254406006283</c:v>
                </c:pt>
                <c:pt idx="43">
                  <c:v>29550.069395306055</c:v>
                </c:pt>
                <c:pt idx="44">
                  <c:v>1355.4583359613825</c:v>
                </c:pt>
                <c:pt idx="45">
                  <c:v>14988.284851904646</c:v>
                </c:pt>
                <c:pt idx="46">
                  <c:v>10890.174289423921</c:v>
                </c:pt>
                <c:pt idx="47">
                  <c:v>11416.9805841946</c:v>
                </c:pt>
                <c:pt idx="48">
                  <c:v>13532.141755464967</c:v>
                </c:pt>
                <c:pt idx="49">
                  <c:v>-68487.783883711556</c:v>
                </c:pt>
                <c:pt idx="50">
                  <c:v>8285.6211871350824</c:v>
                </c:pt>
                <c:pt idx="51">
                  <c:v>2232.278858167665</c:v>
                </c:pt>
                <c:pt idx="52">
                  <c:v>-1868.5402452092967</c:v>
                </c:pt>
                <c:pt idx="53">
                  <c:v>11427.116685314075</c:v>
                </c:pt>
                <c:pt idx="54">
                  <c:v>8857.4879337063321</c:v>
                </c:pt>
                <c:pt idx="55">
                  <c:v>-22854.715992770245</c:v>
                </c:pt>
                <c:pt idx="56">
                  <c:v>-49470.783259764023</c:v>
                </c:pt>
                <c:pt idx="57">
                  <c:v>-2144.4420562703745</c:v>
                </c:pt>
                <c:pt idx="58">
                  <c:v>6094.9689505474817</c:v>
                </c:pt>
                <c:pt idx="59">
                  <c:v>-7264.6860061855841</c:v>
                </c:pt>
                <c:pt idx="60">
                  <c:v>6009.2093114737363</c:v>
                </c:pt>
                <c:pt idx="61">
                  <c:v>10879.979578436963</c:v>
                </c:pt>
                <c:pt idx="62">
                  <c:v>-57086.473700349976</c:v>
                </c:pt>
                <c:pt idx="63">
                  <c:v>-24968.520332759566</c:v>
                </c:pt>
                <c:pt idx="64">
                  <c:v>38789.646747516235</c:v>
                </c:pt>
                <c:pt idx="65">
                  <c:v>-124.10262178423</c:v>
                </c:pt>
                <c:pt idx="66">
                  <c:v>-4770.5948473656026</c:v>
                </c:pt>
                <c:pt idx="67">
                  <c:v>7791.1603970095239</c:v>
                </c:pt>
                <c:pt idx="68">
                  <c:v>47649.802172336727</c:v>
                </c:pt>
                <c:pt idx="69">
                  <c:v>-7064.8580800668424</c:v>
                </c:pt>
                <c:pt idx="70">
                  <c:v>3470.8048203430371</c:v>
                </c:pt>
                <c:pt idx="71">
                  <c:v>8962.2831302286795</c:v>
                </c:pt>
                <c:pt idx="72">
                  <c:v>-239.38037387809891</c:v>
                </c:pt>
                <c:pt idx="73">
                  <c:v>7292.2433700756956</c:v>
                </c:pt>
                <c:pt idx="74">
                  <c:v>-14960.668255430297</c:v>
                </c:pt>
                <c:pt idx="75">
                  <c:v>6812.1967694490013</c:v>
                </c:pt>
                <c:pt idx="76">
                  <c:v>2786.6885271785868</c:v>
                </c:pt>
                <c:pt idx="77">
                  <c:v>-15815.961005733931</c:v>
                </c:pt>
                <c:pt idx="78">
                  <c:v>11605.616707202571</c:v>
                </c:pt>
                <c:pt idx="79">
                  <c:v>-981.78843466953549</c:v>
                </c:pt>
                <c:pt idx="80">
                  <c:v>-22349.486827838016</c:v>
                </c:pt>
                <c:pt idx="81">
                  <c:v>-51620.4054896296</c:v>
                </c:pt>
                <c:pt idx="82">
                  <c:v>-7540.7319885014585</c:v>
                </c:pt>
                <c:pt idx="83">
                  <c:v>2381.1972827246354</c:v>
                </c:pt>
                <c:pt idx="84">
                  <c:v>-17701.214374078583</c:v>
                </c:pt>
                <c:pt idx="85">
                  <c:v>279.51612013923295</c:v>
                </c:pt>
                <c:pt idx="86">
                  <c:v>18560.897675865912</c:v>
                </c:pt>
                <c:pt idx="87">
                  <c:v>-65356.440910771023</c:v>
                </c:pt>
                <c:pt idx="88">
                  <c:v>-20714.587189397716</c:v>
                </c:pt>
                <c:pt idx="89">
                  <c:v>29894.585562855122</c:v>
                </c:pt>
                <c:pt idx="90">
                  <c:v>-6932.5651423739037</c:v>
                </c:pt>
                <c:pt idx="91">
                  <c:v>-15076.182199482108</c:v>
                </c:pt>
                <c:pt idx="92">
                  <c:v>4870.8297032921328</c:v>
                </c:pt>
                <c:pt idx="93">
                  <c:v>40861.326234565</c:v>
                </c:pt>
                <c:pt idx="94">
                  <c:v>-14307.260356859973</c:v>
                </c:pt>
                <c:pt idx="95">
                  <c:v>-3082.9387452053343</c:v>
                </c:pt>
                <c:pt idx="96">
                  <c:v>1474.5305189628853</c:v>
                </c:pt>
                <c:pt idx="97">
                  <c:v>-3403.1435093307664</c:v>
                </c:pt>
                <c:pt idx="98">
                  <c:v>-1767.4634757294843</c:v>
                </c:pt>
                <c:pt idx="99">
                  <c:v>-40455.938028577133</c:v>
                </c:pt>
                <c:pt idx="100">
                  <c:v>8244.5305351880961</c:v>
                </c:pt>
                <c:pt idx="101">
                  <c:v>-468.11524171690689</c:v>
                </c:pt>
                <c:pt idx="102">
                  <c:v>-12096.463790864334</c:v>
                </c:pt>
                <c:pt idx="103">
                  <c:v>27142.93384316453</c:v>
                </c:pt>
                <c:pt idx="104">
                  <c:v>-1820.4607502285944</c:v>
                </c:pt>
                <c:pt idx="105">
                  <c:v>-29219.769072854993</c:v>
                </c:pt>
                <c:pt idx="106">
                  <c:v>-48962.387575377536</c:v>
                </c:pt>
                <c:pt idx="107">
                  <c:v>-7482.3170589928923</c:v>
                </c:pt>
                <c:pt idx="108">
                  <c:v>22276.540514563152</c:v>
                </c:pt>
                <c:pt idx="109">
                  <c:v>-29211.980073341794</c:v>
                </c:pt>
                <c:pt idx="110">
                  <c:v>2152.6774839090212</c:v>
                </c:pt>
                <c:pt idx="111">
                  <c:v>25819.662248730747</c:v>
                </c:pt>
                <c:pt idx="112">
                  <c:v>-70338.595803769131</c:v>
                </c:pt>
                <c:pt idx="113">
                  <c:v>-6023.8971738592372</c:v>
                </c:pt>
                <c:pt idx="114">
                  <c:v>17692.19779540223</c:v>
                </c:pt>
                <c:pt idx="115">
                  <c:v>-11406.940901687136</c:v>
                </c:pt>
                <c:pt idx="116">
                  <c:v>-21906.698671279912</c:v>
                </c:pt>
                <c:pt idx="117">
                  <c:v>633.23014431190677</c:v>
                </c:pt>
                <c:pt idx="118">
                  <c:v>36252.558183610789</c:v>
                </c:pt>
                <c:pt idx="119">
                  <c:v>-15335.727219231776</c:v>
                </c:pt>
                <c:pt idx="120">
                  <c:v>-1240.1955816902628</c:v>
                </c:pt>
                <c:pt idx="121">
                  <c:v>1438.3360012496851</c:v>
                </c:pt>
                <c:pt idx="122">
                  <c:v>-6045.3432080962084</c:v>
                </c:pt>
                <c:pt idx="123">
                  <c:v>-6752.8818241745175</c:v>
                </c:pt>
                <c:pt idx="124">
                  <c:v>11356.074857532163</c:v>
                </c:pt>
                <c:pt idx="125">
                  <c:v>21028.803321955493</c:v>
                </c:pt>
                <c:pt idx="126">
                  <c:v>-12180.801787856995</c:v>
                </c:pt>
                <c:pt idx="127">
                  <c:v>45845.254093555501</c:v>
                </c:pt>
                <c:pt idx="128">
                  <c:v>6276.6455526726786</c:v>
                </c:pt>
                <c:pt idx="129">
                  <c:v>-2917.4018334192806</c:v>
                </c:pt>
                <c:pt idx="130">
                  <c:v>-44614.8302044312</c:v>
                </c:pt>
                <c:pt idx="131">
                  <c:v>-54914.983807107725</c:v>
                </c:pt>
                <c:pt idx="132">
                  <c:v>-5597.2796072362544</c:v>
                </c:pt>
                <c:pt idx="133">
                  <c:v>27281.32955239102</c:v>
                </c:pt>
                <c:pt idx="134">
                  <c:v>-26832.093895880753</c:v>
                </c:pt>
                <c:pt idx="135">
                  <c:v>5376.5579271852039</c:v>
                </c:pt>
                <c:pt idx="136">
                  <c:v>42526.596438025736</c:v>
                </c:pt>
                <c:pt idx="137">
                  <c:v>-96010.519227387063</c:v>
                </c:pt>
                <c:pt idx="138">
                  <c:v>16033.922362164187</c:v>
                </c:pt>
                <c:pt idx="139">
                  <c:v>48614.118069918302</c:v>
                </c:pt>
                <c:pt idx="140">
                  <c:v>-21834.255782583146</c:v>
                </c:pt>
                <c:pt idx="141">
                  <c:v>-24427.008046691844</c:v>
                </c:pt>
                <c:pt idx="142">
                  <c:v>-6139.7518061006995</c:v>
                </c:pt>
                <c:pt idx="143">
                  <c:v>61480.830935321894</c:v>
                </c:pt>
                <c:pt idx="144">
                  <c:v>-18978.948353148444</c:v>
                </c:pt>
                <c:pt idx="145">
                  <c:v>-5572.4309781844204</c:v>
                </c:pt>
                <c:pt idx="146">
                  <c:v>-2243.2300749143469</c:v>
                </c:pt>
                <c:pt idx="147">
                  <c:v>-15809.187195586448</c:v>
                </c:pt>
                <c:pt idx="148">
                  <c:v>-6262.900563873045</c:v>
                </c:pt>
                <c:pt idx="149">
                  <c:v>156463.48690183368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0D-4DC9-84A4-392D28834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636912"/>
        <c:axId val="1657635952"/>
      </c:scatterChart>
      <c:valAx>
        <c:axId val="1657636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Independent Var 2 (X2)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7635952"/>
        <c:crosses val="autoZero"/>
        <c:crossBetween val="midCat"/>
      </c:valAx>
      <c:valAx>
        <c:axId val="16576359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763691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Independent Var 3 (X3)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xVal>
            <c:numRef>
              <c:f>Regression!$D$2:$D$151</c:f>
              <c:numCache>
                <c:formatCode>0</c:formatCode>
                <c:ptCount val="150"/>
                <c:pt idx="0">
                  <c:v>8645</c:v>
                </c:pt>
                <c:pt idx="1">
                  <c:v>5041</c:v>
                </c:pt>
                <c:pt idx="2">
                  <c:v>25584</c:v>
                </c:pt>
                <c:pt idx="3">
                  <c:v>10483</c:v>
                </c:pt>
                <c:pt idx="4">
                  <c:v>5930</c:v>
                </c:pt>
                <c:pt idx="5">
                  <c:v>5058</c:v>
                </c:pt>
                <c:pt idx="6">
                  <c:v>13474</c:v>
                </c:pt>
                <c:pt idx="7">
                  <c:v>6883</c:v>
                </c:pt>
                <c:pt idx="8">
                  <c:v>17830</c:v>
                </c:pt>
                <c:pt idx="9">
                  <c:v>7205</c:v>
                </c:pt>
                <c:pt idx="10">
                  <c:v>3526</c:v>
                </c:pt>
                <c:pt idx="11">
                  <c:v>15586</c:v>
                </c:pt>
                <c:pt idx="12">
                  <c:v>10051</c:v>
                </c:pt>
                <c:pt idx="13">
                  <c:v>21004</c:v>
                </c:pt>
                <c:pt idx="14">
                  <c:v>8989</c:v>
                </c:pt>
                <c:pt idx="15">
                  <c:v>4697</c:v>
                </c:pt>
                <c:pt idx="16">
                  <c:v>5287</c:v>
                </c:pt>
                <c:pt idx="17">
                  <c:v>4249</c:v>
                </c:pt>
                <c:pt idx="18">
                  <c:v>20435</c:v>
                </c:pt>
                <c:pt idx="19">
                  <c:v>7171</c:v>
                </c:pt>
                <c:pt idx="20">
                  <c:v>6228</c:v>
                </c:pt>
                <c:pt idx="21">
                  <c:v>8050</c:v>
                </c:pt>
                <c:pt idx="22">
                  <c:v>3500</c:v>
                </c:pt>
                <c:pt idx="23">
                  <c:v>5236</c:v>
                </c:pt>
                <c:pt idx="24">
                  <c:v>76227</c:v>
                </c:pt>
                <c:pt idx="25">
                  <c:v>9187</c:v>
                </c:pt>
                <c:pt idx="26">
                  <c:v>5597</c:v>
                </c:pt>
                <c:pt idx="27">
                  <c:v>27892</c:v>
                </c:pt>
                <c:pt idx="28">
                  <c:v>10450</c:v>
                </c:pt>
                <c:pt idx="29">
                  <c:v>6491</c:v>
                </c:pt>
                <c:pt idx="30">
                  <c:v>5788</c:v>
                </c:pt>
                <c:pt idx="31">
                  <c:v>14576</c:v>
                </c:pt>
                <c:pt idx="32">
                  <c:v>7639</c:v>
                </c:pt>
                <c:pt idx="33">
                  <c:v>19339</c:v>
                </c:pt>
                <c:pt idx="34">
                  <c:v>7735</c:v>
                </c:pt>
                <c:pt idx="35">
                  <c:v>3408</c:v>
                </c:pt>
                <c:pt idx="36">
                  <c:v>17933</c:v>
                </c:pt>
                <c:pt idx="37">
                  <c:v>10801</c:v>
                </c:pt>
                <c:pt idx="38">
                  <c:v>24023</c:v>
                </c:pt>
                <c:pt idx="39">
                  <c:v>10188</c:v>
                </c:pt>
                <c:pt idx="40">
                  <c:v>5280</c:v>
                </c:pt>
                <c:pt idx="41">
                  <c:v>5705</c:v>
                </c:pt>
                <c:pt idx="42">
                  <c:v>4710</c:v>
                </c:pt>
                <c:pt idx="43">
                  <c:v>22597</c:v>
                </c:pt>
                <c:pt idx="44">
                  <c:v>8107</c:v>
                </c:pt>
                <c:pt idx="45">
                  <c:v>6954</c:v>
                </c:pt>
                <c:pt idx="46">
                  <c:v>8864</c:v>
                </c:pt>
                <c:pt idx="47">
                  <c:v>3925</c:v>
                </c:pt>
                <c:pt idx="48">
                  <c:v>5904</c:v>
                </c:pt>
                <c:pt idx="49">
                  <c:v>85163</c:v>
                </c:pt>
                <c:pt idx="50">
                  <c:v>9713</c:v>
                </c:pt>
                <c:pt idx="51">
                  <c:v>5917</c:v>
                </c:pt>
                <c:pt idx="52">
                  <c:v>29119</c:v>
                </c:pt>
                <c:pt idx="53">
                  <c:v>9731</c:v>
                </c:pt>
                <c:pt idx="54">
                  <c:v>6913</c:v>
                </c:pt>
                <c:pt idx="55">
                  <c:v>6424</c:v>
                </c:pt>
                <c:pt idx="56">
                  <c:v>14993</c:v>
                </c:pt>
                <c:pt idx="57">
                  <c:v>8302</c:v>
                </c:pt>
                <c:pt idx="58">
                  <c:v>20054</c:v>
                </c:pt>
                <c:pt idx="59">
                  <c:v>8068</c:v>
                </c:pt>
                <c:pt idx="60">
                  <c:v>3449</c:v>
                </c:pt>
                <c:pt idx="61">
                  <c:v>19233</c:v>
                </c:pt>
                <c:pt idx="62">
                  <c:v>11434</c:v>
                </c:pt>
                <c:pt idx="63">
                  <c:v>24704</c:v>
                </c:pt>
                <c:pt idx="64">
                  <c:v>10958</c:v>
                </c:pt>
                <c:pt idx="65">
                  <c:v>5545</c:v>
                </c:pt>
                <c:pt idx="66">
                  <c:v>5949</c:v>
                </c:pt>
                <c:pt idx="67">
                  <c:v>5043</c:v>
                </c:pt>
                <c:pt idx="68">
                  <c:v>23793</c:v>
                </c:pt>
                <c:pt idx="69">
                  <c:v>8218</c:v>
                </c:pt>
                <c:pt idx="70">
                  <c:v>7431</c:v>
                </c:pt>
                <c:pt idx="71">
                  <c:v>9176</c:v>
                </c:pt>
                <c:pt idx="72">
                  <c:v>4096</c:v>
                </c:pt>
                <c:pt idx="73">
                  <c:v>6105</c:v>
                </c:pt>
                <c:pt idx="74">
                  <c:v>91509</c:v>
                </c:pt>
                <c:pt idx="75">
                  <c:v>10295</c:v>
                </c:pt>
                <c:pt idx="76">
                  <c:v>6292</c:v>
                </c:pt>
                <c:pt idx="77">
                  <c:v>31191</c:v>
                </c:pt>
                <c:pt idx="78">
                  <c:v>10299</c:v>
                </c:pt>
                <c:pt idx="79">
                  <c:v>7306</c:v>
                </c:pt>
                <c:pt idx="80">
                  <c:v>6388</c:v>
                </c:pt>
                <c:pt idx="81">
                  <c:v>15652</c:v>
                </c:pt>
                <c:pt idx="82">
                  <c:v>8595</c:v>
                </c:pt>
                <c:pt idx="83">
                  <c:v>21077</c:v>
                </c:pt>
                <c:pt idx="84">
                  <c:v>8755</c:v>
                </c:pt>
                <c:pt idx="85">
                  <c:v>3732</c:v>
                </c:pt>
                <c:pt idx="86">
                  <c:v>20480</c:v>
                </c:pt>
                <c:pt idx="87">
                  <c:v>12278</c:v>
                </c:pt>
                <c:pt idx="88">
                  <c:v>25871</c:v>
                </c:pt>
                <c:pt idx="89">
                  <c:v>11439</c:v>
                </c:pt>
                <c:pt idx="90">
                  <c:v>5956</c:v>
                </c:pt>
                <c:pt idx="91">
                  <c:v>6222</c:v>
                </c:pt>
                <c:pt idx="92">
                  <c:v>5092</c:v>
                </c:pt>
                <c:pt idx="93">
                  <c:v>25051</c:v>
                </c:pt>
                <c:pt idx="94">
                  <c:v>8511</c:v>
                </c:pt>
                <c:pt idx="95">
                  <c:v>7864</c:v>
                </c:pt>
                <c:pt idx="96">
                  <c:v>9709</c:v>
                </c:pt>
                <c:pt idx="97">
                  <c:v>4235</c:v>
                </c:pt>
                <c:pt idx="98">
                  <c:v>6443</c:v>
                </c:pt>
                <c:pt idx="99">
                  <c:v>101864</c:v>
                </c:pt>
                <c:pt idx="100">
                  <c:v>9862</c:v>
                </c:pt>
                <c:pt idx="101">
                  <c:v>6047</c:v>
                </c:pt>
                <c:pt idx="102">
                  <c:v>30827</c:v>
                </c:pt>
                <c:pt idx="103">
                  <c:v>9473</c:v>
                </c:pt>
                <c:pt idx="104">
                  <c:v>7060</c:v>
                </c:pt>
                <c:pt idx="105">
                  <c:v>6655</c:v>
                </c:pt>
                <c:pt idx="106">
                  <c:v>15368</c:v>
                </c:pt>
                <c:pt idx="107">
                  <c:v>8124</c:v>
                </c:pt>
                <c:pt idx="108">
                  <c:v>20320</c:v>
                </c:pt>
                <c:pt idx="109">
                  <c:v>8553</c:v>
                </c:pt>
                <c:pt idx="110">
                  <c:v>3408</c:v>
                </c:pt>
                <c:pt idx="111">
                  <c:v>20911</c:v>
                </c:pt>
                <c:pt idx="112">
                  <c:v>11482</c:v>
                </c:pt>
                <c:pt idx="113">
                  <c:v>25465</c:v>
                </c:pt>
                <c:pt idx="114">
                  <c:v>11104</c:v>
                </c:pt>
                <c:pt idx="115">
                  <c:v>6021</c:v>
                </c:pt>
                <c:pt idx="116">
                  <c:v>6096</c:v>
                </c:pt>
                <c:pt idx="117">
                  <c:v>5135</c:v>
                </c:pt>
                <c:pt idx="118">
                  <c:v>25144</c:v>
                </c:pt>
                <c:pt idx="119">
                  <c:v>8116</c:v>
                </c:pt>
                <c:pt idx="120">
                  <c:v>7654</c:v>
                </c:pt>
                <c:pt idx="121">
                  <c:v>9286</c:v>
                </c:pt>
                <c:pt idx="122">
                  <c:v>4205</c:v>
                </c:pt>
                <c:pt idx="123">
                  <c:v>6254</c:v>
                </c:pt>
                <c:pt idx="124">
                  <c:v>101252</c:v>
                </c:pt>
                <c:pt idx="125">
                  <c:v>10050</c:v>
                </c:pt>
                <c:pt idx="126">
                  <c:v>6280</c:v>
                </c:pt>
                <c:pt idx="127">
                  <c:v>30511</c:v>
                </c:pt>
                <c:pt idx="128">
                  <c:v>9202</c:v>
                </c:pt>
                <c:pt idx="129">
                  <c:v>7028</c:v>
                </c:pt>
                <c:pt idx="130">
                  <c:v>6572</c:v>
                </c:pt>
                <c:pt idx="131">
                  <c:v>15363</c:v>
                </c:pt>
                <c:pt idx="132">
                  <c:v>7793</c:v>
                </c:pt>
                <c:pt idx="133">
                  <c:v>20262</c:v>
                </c:pt>
                <c:pt idx="134">
                  <c:v>8347</c:v>
                </c:pt>
                <c:pt idx="135">
                  <c:v>3356</c:v>
                </c:pt>
                <c:pt idx="136">
                  <c:v>21186</c:v>
                </c:pt>
                <c:pt idx="137">
                  <c:v>11481</c:v>
                </c:pt>
                <c:pt idx="138">
                  <c:v>23962</c:v>
                </c:pt>
                <c:pt idx="139">
                  <c:v>11254</c:v>
                </c:pt>
                <c:pt idx="140">
                  <c:v>6163</c:v>
                </c:pt>
                <c:pt idx="141">
                  <c:v>6132</c:v>
                </c:pt>
                <c:pt idx="142">
                  <c:v>5136</c:v>
                </c:pt>
                <c:pt idx="143">
                  <c:v>25808</c:v>
                </c:pt>
                <c:pt idx="144">
                  <c:v>7811</c:v>
                </c:pt>
                <c:pt idx="145">
                  <c:v>7698</c:v>
                </c:pt>
                <c:pt idx="146">
                  <c:v>9238</c:v>
                </c:pt>
                <c:pt idx="147">
                  <c:v>4090</c:v>
                </c:pt>
                <c:pt idx="148">
                  <c:v>6192</c:v>
                </c:pt>
                <c:pt idx="149">
                  <c:v>99919</c:v>
                </c:pt>
              </c:numCache>
            </c:numRef>
          </c:xVal>
          <c:yVal>
            <c:numRef>
              <c:f>Regression!$J$28:$J$177</c:f>
              <c:numCache>
                <c:formatCode>General</c:formatCode>
                <c:ptCount val="150"/>
                <c:pt idx="0">
                  <c:v>21694.439666115584</c:v>
                </c:pt>
                <c:pt idx="1">
                  <c:v>16396.69984936398</c:v>
                </c:pt>
                <c:pt idx="2">
                  <c:v>-22650.318567272334</c:v>
                </c:pt>
                <c:pt idx="3">
                  <c:v>17283.503809355927</c:v>
                </c:pt>
                <c:pt idx="4">
                  <c:v>21497.688132546577</c:v>
                </c:pt>
                <c:pt idx="5">
                  <c:v>-662.47783317208814</c:v>
                </c:pt>
                <c:pt idx="6">
                  <c:v>-19373.682989259949</c:v>
                </c:pt>
                <c:pt idx="7">
                  <c:v>15766.69389709994</c:v>
                </c:pt>
                <c:pt idx="8">
                  <c:v>-4668.2658938745153</c:v>
                </c:pt>
                <c:pt idx="9">
                  <c:v>13712.39476522895</c:v>
                </c:pt>
                <c:pt idx="10">
                  <c:v>24157.76159127718</c:v>
                </c:pt>
                <c:pt idx="11">
                  <c:v>15734.398133581592</c:v>
                </c:pt>
                <c:pt idx="12">
                  <c:v>-25284.876397386077</c:v>
                </c:pt>
                <c:pt idx="13">
                  <c:v>-18691.776852288691</c:v>
                </c:pt>
                <c:pt idx="14">
                  <c:v>41207.846209810814</c:v>
                </c:pt>
                <c:pt idx="15">
                  <c:v>20072.493012018211</c:v>
                </c:pt>
                <c:pt idx="16">
                  <c:v>16971.056559140823</c:v>
                </c:pt>
                <c:pt idx="17">
                  <c:v>25092.654622458875</c:v>
                </c:pt>
                <c:pt idx="18">
                  <c:v>30264.88878730229</c:v>
                </c:pt>
                <c:pt idx="19">
                  <c:v>12292.328564162723</c:v>
                </c:pt>
                <c:pt idx="20">
                  <c:v>23045.045170110308</c:v>
                </c:pt>
                <c:pt idx="21">
                  <c:v>21641.130579939352</c:v>
                </c:pt>
                <c:pt idx="22">
                  <c:v>19785.577604778482</c:v>
                </c:pt>
                <c:pt idx="23">
                  <c:v>23262.676524883362</c:v>
                </c:pt>
                <c:pt idx="24">
                  <c:v>-98575.586022675387</c:v>
                </c:pt>
                <c:pt idx="25">
                  <c:v>14423.945683179234</c:v>
                </c:pt>
                <c:pt idx="26">
                  <c:v>12336.24222413369</c:v>
                </c:pt>
                <c:pt idx="27">
                  <c:v>-13617.611328190716</c:v>
                </c:pt>
                <c:pt idx="28">
                  <c:v>7490.0727425869263</c:v>
                </c:pt>
                <c:pt idx="29">
                  <c:v>13416.476730127542</c:v>
                </c:pt>
                <c:pt idx="30">
                  <c:v>-11067.174449188722</c:v>
                </c:pt>
                <c:pt idx="31">
                  <c:v>-34659.404065818497</c:v>
                </c:pt>
                <c:pt idx="32">
                  <c:v>6675.8616824635756</c:v>
                </c:pt>
                <c:pt idx="33">
                  <c:v>-7010.0349477070267</c:v>
                </c:pt>
                <c:pt idx="34">
                  <c:v>1575.8369116452159</c:v>
                </c:pt>
                <c:pt idx="35">
                  <c:v>13468.272345454621</c:v>
                </c:pt>
                <c:pt idx="36">
                  <c:v>12709.298834655317</c:v>
                </c:pt>
                <c:pt idx="37">
                  <c:v>-40772.508122642161</c:v>
                </c:pt>
                <c:pt idx="38">
                  <c:v>-29936.769323899964</c:v>
                </c:pt>
                <c:pt idx="39">
                  <c:v>40419.547995002853</c:v>
                </c:pt>
                <c:pt idx="40">
                  <c:v>10076.202195481979</c:v>
                </c:pt>
                <c:pt idx="41">
                  <c:v>5061.8677892879277</c:v>
                </c:pt>
                <c:pt idx="42">
                  <c:v>17557.254406006283</c:v>
                </c:pt>
                <c:pt idx="43">
                  <c:v>29550.069395306055</c:v>
                </c:pt>
                <c:pt idx="44">
                  <c:v>1355.4583359613825</c:v>
                </c:pt>
                <c:pt idx="45">
                  <c:v>14988.284851904646</c:v>
                </c:pt>
                <c:pt idx="46">
                  <c:v>10890.174289423921</c:v>
                </c:pt>
                <c:pt idx="47">
                  <c:v>11416.9805841946</c:v>
                </c:pt>
                <c:pt idx="48">
                  <c:v>13532.141755464967</c:v>
                </c:pt>
                <c:pt idx="49">
                  <c:v>-68487.783883711556</c:v>
                </c:pt>
                <c:pt idx="50">
                  <c:v>8285.6211871350824</c:v>
                </c:pt>
                <c:pt idx="51">
                  <c:v>2232.278858167665</c:v>
                </c:pt>
                <c:pt idx="52">
                  <c:v>-1868.5402452092967</c:v>
                </c:pt>
                <c:pt idx="53">
                  <c:v>11427.116685314075</c:v>
                </c:pt>
                <c:pt idx="54">
                  <c:v>8857.4879337063321</c:v>
                </c:pt>
                <c:pt idx="55">
                  <c:v>-22854.715992770245</c:v>
                </c:pt>
                <c:pt idx="56">
                  <c:v>-49470.783259764023</c:v>
                </c:pt>
                <c:pt idx="57">
                  <c:v>-2144.4420562703745</c:v>
                </c:pt>
                <c:pt idx="58">
                  <c:v>6094.9689505474817</c:v>
                </c:pt>
                <c:pt idx="59">
                  <c:v>-7264.6860061855841</c:v>
                </c:pt>
                <c:pt idx="60">
                  <c:v>6009.2093114737363</c:v>
                </c:pt>
                <c:pt idx="61">
                  <c:v>10879.979578436963</c:v>
                </c:pt>
                <c:pt idx="62">
                  <c:v>-57086.473700349976</c:v>
                </c:pt>
                <c:pt idx="63">
                  <c:v>-24968.520332759566</c:v>
                </c:pt>
                <c:pt idx="64">
                  <c:v>38789.646747516235</c:v>
                </c:pt>
                <c:pt idx="65">
                  <c:v>-124.10262178423</c:v>
                </c:pt>
                <c:pt idx="66">
                  <c:v>-4770.5948473656026</c:v>
                </c:pt>
                <c:pt idx="67">
                  <c:v>7791.1603970095239</c:v>
                </c:pt>
                <c:pt idx="68">
                  <c:v>47649.802172336727</c:v>
                </c:pt>
                <c:pt idx="69">
                  <c:v>-7064.8580800668424</c:v>
                </c:pt>
                <c:pt idx="70">
                  <c:v>3470.8048203430371</c:v>
                </c:pt>
                <c:pt idx="71">
                  <c:v>8962.2831302286795</c:v>
                </c:pt>
                <c:pt idx="72">
                  <c:v>-239.38037387809891</c:v>
                </c:pt>
                <c:pt idx="73">
                  <c:v>7292.2433700756956</c:v>
                </c:pt>
                <c:pt idx="74">
                  <c:v>-14960.668255430297</c:v>
                </c:pt>
                <c:pt idx="75">
                  <c:v>6812.1967694490013</c:v>
                </c:pt>
                <c:pt idx="76">
                  <c:v>2786.6885271785868</c:v>
                </c:pt>
                <c:pt idx="77">
                  <c:v>-15815.961005733931</c:v>
                </c:pt>
                <c:pt idx="78">
                  <c:v>11605.616707202571</c:v>
                </c:pt>
                <c:pt idx="79">
                  <c:v>-981.78843466953549</c:v>
                </c:pt>
                <c:pt idx="80">
                  <c:v>-22349.486827838016</c:v>
                </c:pt>
                <c:pt idx="81">
                  <c:v>-51620.4054896296</c:v>
                </c:pt>
                <c:pt idx="82">
                  <c:v>-7540.7319885014585</c:v>
                </c:pt>
                <c:pt idx="83">
                  <c:v>2381.1972827246354</c:v>
                </c:pt>
                <c:pt idx="84">
                  <c:v>-17701.214374078583</c:v>
                </c:pt>
                <c:pt idx="85">
                  <c:v>279.51612013923295</c:v>
                </c:pt>
                <c:pt idx="86">
                  <c:v>18560.897675865912</c:v>
                </c:pt>
                <c:pt idx="87">
                  <c:v>-65356.440910771023</c:v>
                </c:pt>
                <c:pt idx="88">
                  <c:v>-20714.587189397716</c:v>
                </c:pt>
                <c:pt idx="89">
                  <c:v>29894.585562855122</c:v>
                </c:pt>
                <c:pt idx="90">
                  <c:v>-6932.5651423739037</c:v>
                </c:pt>
                <c:pt idx="91">
                  <c:v>-15076.182199482108</c:v>
                </c:pt>
                <c:pt idx="92">
                  <c:v>4870.8297032921328</c:v>
                </c:pt>
                <c:pt idx="93">
                  <c:v>40861.326234565</c:v>
                </c:pt>
                <c:pt idx="94">
                  <c:v>-14307.260356859973</c:v>
                </c:pt>
                <c:pt idx="95">
                  <c:v>-3082.9387452053343</c:v>
                </c:pt>
                <c:pt idx="96">
                  <c:v>1474.5305189628853</c:v>
                </c:pt>
                <c:pt idx="97">
                  <c:v>-3403.1435093307664</c:v>
                </c:pt>
                <c:pt idx="98">
                  <c:v>-1767.4634757294843</c:v>
                </c:pt>
                <c:pt idx="99">
                  <c:v>-40455.938028577133</c:v>
                </c:pt>
                <c:pt idx="100">
                  <c:v>8244.5305351880961</c:v>
                </c:pt>
                <c:pt idx="101">
                  <c:v>-468.11524171690689</c:v>
                </c:pt>
                <c:pt idx="102">
                  <c:v>-12096.463790864334</c:v>
                </c:pt>
                <c:pt idx="103">
                  <c:v>27142.93384316453</c:v>
                </c:pt>
                <c:pt idx="104">
                  <c:v>-1820.4607502285944</c:v>
                </c:pt>
                <c:pt idx="105">
                  <c:v>-29219.769072854993</c:v>
                </c:pt>
                <c:pt idx="106">
                  <c:v>-48962.387575377536</c:v>
                </c:pt>
                <c:pt idx="107">
                  <c:v>-7482.3170589928923</c:v>
                </c:pt>
                <c:pt idx="108">
                  <c:v>22276.540514563152</c:v>
                </c:pt>
                <c:pt idx="109">
                  <c:v>-29211.980073341794</c:v>
                </c:pt>
                <c:pt idx="110">
                  <c:v>2152.6774839090212</c:v>
                </c:pt>
                <c:pt idx="111">
                  <c:v>25819.662248730747</c:v>
                </c:pt>
                <c:pt idx="112">
                  <c:v>-70338.595803769131</c:v>
                </c:pt>
                <c:pt idx="113">
                  <c:v>-6023.8971738592372</c:v>
                </c:pt>
                <c:pt idx="114">
                  <c:v>17692.19779540223</c:v>
                </c:pt>
                <c:pt idx="115">
                  <c:v>-11406.940901687136</c:v>
                </c:pt>
                <c:pt idx="116">
                  <c:v>-21906.698671279912</c:v>
                </c:pt>
                <c:pt idx="117">
                  <c:v>633.23014431190677</c:v>
                </c:pt>
                <c:pt idx="118">
                  <c:v>36252.558183610789</c:v>
                </c:pt>
                <c:pt idx="119">
                  <c:v>-15335.727219231776</c:v>
                </c:pt>
                <c:pt idx="120">
                  <c:v>-1240.1955816902628</c:v>
                </c:pt>
                <c:pt idx="121">
                  <c:v>1438.3360012496851</c:v>
                </c:pt>
                <c:pt idx="122">
                  <c:v>-6045.3432080962084</c:v>
                </c:pt>
                <c:pt idx="123">
                  <c:v>-6752.8818241745175</c:v>
                </c:pt>
                <c:pt idx="124">
                  <c:v>11356.074857532163</c:v>
                </c:pt>
                <c:pt idx="125">
                  <c:v>21028.803321955493</c:v>
                </c:pt>
                <c:pt idx="126">
                  <c:v>-12180.801787856995</c:v>
                </c:pt>
                <c:pt idx="127">
                  <c:v>45845.254093555501</c:v>
                </c:pt>
                <c:pt idx="128">
                  <c:v>6276.6455526726786</c:v>
                </c:pt>
                <c:pt idx="129">
                  <c:v>-2917.4018334192806</c:v>
                </c:pt>
                <c:pt idx="130">
                  <c:v>-44614.8302044312</c:v>
                </c:pt>
                <c:pt idx="131">
                  <c:v>-54914.983807107725</c:v>
                </c:pt>
                <c:pt idx="132">
                  <c:v>-5597.2796072362544</c:v>
                </c:pt>
                <c:pt idx="133">
                  <c:v>27281.32955239102</c:v>
                </c:pt>
                <c:pt idx="134">
                  <c:v>-26832.093895880753</c:v>
                </c:pt>
                <c:pt idx="135">
                  <c:v>5376.5579271852039</c:v>
                </c:pt>
                <c:pt idx="136">
                  <c:v>42526.596438025736</c:v>
                </c:pt>
                <c:pt idx="137">
                  <c:v>-96010.519227387063</c:v>
                </c:pt>
                <c:pt idx="138">
                  <c:v>16033.922362164187</c:v>
                </c:pt>
                <c:pt idx="139">
                  <c:v>48614.118069918302</c:v>
                </c:pt>
                <c:pt idx="140">
                  <c:v>-21834.255782583146</c:v>
                </c:pt>
                <c:pt idx="141">
                  <c:v>-24427.008046691844</c:v>
                </c:pt>
                <c:pt idx="142">
                  <c:v>-6139.7518061006995</c:v>
                </c:pt>
                <c:pt idx="143">
                  <c:v>61480.830935321894</c:v>
                </c:pt>
                <c:pt idx="144">
                  <c:v>-18978.948353148444</c:v>
                </c:pt>
                <c:pt idx="145">
                  <c:v>-5572.4309781844204</c:v>
                </c:pt>
                <c:pt idx="146">
                  <c:v>-2243.2300749143469</c:v>
                </c:pt>
                <c:pt idx="147">
                  <c:v>-15809.187195586448</c:v>
                </c:pt>
                <c:pt idx="148">
                  <c:v>-6262.900563873045</c:v>
                </c:pt>
                <c:pt idx="149">
                  <c:v>156463.48690183368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69-45E1-8BC4-080999D30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4631743"/>
        <c:axId val="1654633183"/>
      </c:scatterChart>
      <c:valAx>
        <c:axId val="165463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Independent Var 3 (X3)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4633183"/>
        <c:crosses val="autoZero"/>
        <c:crossBetween val="midCat"/>
      </c:valAx>
      <c:valAx>
        <c:axId val="165463318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4631743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Independent Var 4 (X4)  Residual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xVal>
            <c:numRef>
              <c:f>Regression!$E$2:$E$151</c:f>
              <c:numCache>
                <c:formatCode>0</c:formatCode>
                <c:ptCount val="150"/>
                <c:pt idx="0">
                  <c:v>1782</c:v>
                </c:pt>
                <c:pt idx="1">
                  <c:v>1692</c:v>
                </c:pt>
                <c:pt idx="2">
                  <c:v>2369</c:v>
                </c:pt>
                <c:pt idx="3">
                  <c:v>2549</c:v>
                </c:pt>
                <c:pt idx="4">
                  <c:v>1785</c:v>
                </c:pt>
                <c:pt idx="5">
                  <c:v>1846</c:v>
                </c:pt>
                <c:pt idx="6">
                  <c:v>2187</c:v>
                </c:pt>
                <c:pt idx="7">
                  <c:v>1927</c:v>
                </c:pt>
                <c:pt idx="8">
                  <c:v>2295</c:v>
                </c:pt>
                <c:pt idx="9">
                  <c:v>1815</c:v>
                </c:pt>
                <c:pt idx="10">
                  <c:v>2271</c:v>
                </c:pt>
                <c:pt idx="11">
                  <c:v>1941</c:v>
                </c:pt>
                <c:pt idx="12">
                  <c:v>2122</c:v>
                </c:pt>
                <c:pt idx="13">
                  <c:v>2046</c:v>
                </c:pt>
                <c:pt idx="14">
                  <c:v>2102</c:v>
                </c:pt>
                <c:pt idx="15">
                  <c:v>1960</c:v>
                </c:pt>
                <c:pt idx="16">
                  <c:v>1866</c:v>
                </c:pt>
                <c:pt idx="17">
                  <c:v>1659</c:v>
                </c:pt>
                <c:pt idx="18">
                  <c:v>2060</c:v>
                </c:pt>
                <c:pt idx="19">
                  <c:v>1733</c:v>
                </c:pt>
                <c:pt idx="20">
                  <c:v>1786</c:v>
                </c:pt>
                <c:pt idx="21">
                  <c:v>1835</c:v>
                </c:pt>
                <c:pt idx="22">
                  <c:v>1772</c:v>
                </c:pt>
                <c:pt idx="23">
                  <c:v>1711</c:v>
                </c:pt>
                <c:pt idx="24">
                  <c:v>3431</c:v>
                </c:pt>
                <c:pt idx="25">
                  <c:v>2074</c:v>
                </c:pt>
                <c:pt idx="26">
                  <c:v>1994</c:v>
                </c:pt>
                <c:pt idx="27">
                  <c:v>2790</c:v>
                </c:pt>
                <c:pt idx="28">
                  <c:v>3063</c:v>
                </c:pt>
                <c:pt idx="29">
                  <c:v>2071</c:v>
                </c:pt>
                <c:pt idx="30">
                  <c:v>2069</c:v>
                </c:pt>
                <c:pt idx="31">
                  <c:v>2607</c:v>
                </c:pt>
                <c:pt idx="32">
                  <c:v>2213</c:v>
                </c:pt>
                <c:pt idx="33">
                  <c:v>2761</c:v>
                </c:pt>
                <c:pt idx="34">
                  <c:v>2114</c:v>
                </c:pt>
                <c:pt idx="35">
                  <c:v>2742</c:v>
                </c:pt>
                <c:pt idx="36">
                  <c:v>2244</c:v>
                </c:pt>
                <c:pt idx="37">
                  <c:v>2448</c:v>
                </c:pt>
                <c:pt idx="38">
                  <c:v>2387</c:v>
                </c:pt>
                <c:pt idx="39">
                  <c:v>2481</c:v>
                </c:pt>
                <c:pt idx="40">
                  <c:v>2211</c:v>
                </c:pt>
                <c:pt idx="41">
                  <c:v>2177</c:v>
                </c:pt>
                <c:pt idx="42">
                  <c:v>1871</c:v>
                </c:pt>
                <c:pt idx="43">
                  <c:v>2407</c:v>
                </c:pt>
                <c:pt idx="44">
                  <c:v>1970</c:v>
                </c:pt>
                <c:pt idx="45">
                  <c:v>2075</c:v>
                </c:pt>
                <c:pt idx="46">
                  <c:v>2155</c:v>
                </c:pt>
                <c:pt idx="47">
                  <c:v>1985</c:v>
                </c:pt>
                <c:pt idx="48">
                  <c:v>1974</c:v>
                </c:pt>
                <c:pt idx="49">
                  <c:v>4012</c:v>
                </c:pt>
                <c:pt idx="50">
                  <c:v>2432</c:v>
                </c:pt>
                <c:pt idx="51">
                  <c:v>2339</c:v>
                </c:pt>
                <c:pt idx="52">
                  <c:v>3138</c:v>
                </c:pt>
                <c:pt idx="53">
                  <c:v>3496</c:v>
                </c:pt>
                <c:pt idx="54">
                  <c:v>2369</c:v>
                </c:pt>
                <c:pt idx="55">
                  <c:v>2351</c:v>
                </c:pt>
                <c:pt idx="56">
                  <c:v>2927</c:v>
                </c:pt>
                <c:pt idx="57">
                  <c:v>2539</c:v>
                </c:pt>
                <c:pt idx="58">
                  <c:v>3157</c:v>
                </c:pt>
                <c:pt idx="59">
                  <c:v>2428</c:v>
                </c:pt>
                <c:pt idx="60">
                  <c:v>3090</c:v>
                </c:pt>
                <c:pt idx="61">
                  <c:v>2578</c:v>
                </c:pt>
                <c:pt idx="62">
                  <c:v>2822</c:v>
                </c:pt>
                <c:pt idx="63">
                  <c:v>2700</c:v>
                </c:pt>
                <c:pt idx="64">
                  <c:v>2850</c:v>
                </c:pt>
                <c:pt idx="65">
                  <c:v>2575</c:v>
                </c:pt>
                <c:pt idx="66">
                  <c:v>2503</c:v>
                </c:pt>
                <c:pt idx="67">
                  <c:v>2185</c:v>
                </c:pt>
                <c:pt idx="68">
                  <c:v>2753</c:v>
                </c:pt>
                <c:pt idx="69">
                  <c:v>2269</c:v>
                </c:pt>
                <c:pt idx="70">
                  <c:v>2425</c:v>
                </c:pt>
                <c:pt idx="71">
                  <c:v>2508</c:v>
                </c:pt>
                <c:pt idx="72">
                  <c:v>2329</c:v>
                </c:pt>
                <c:pt idx="73">
                  <c:v>2308</c:v>
                </c:pt>
                <c:pt idx="74">
                  <c:v>4607</c:v>
                </c:pt>
                <c:pt idx="75">
                  <c:v>2651</c:v>
                </c:pt>
                <c:pt idx="76">
                  <c:v>2580</c:v>
                </c:pt>
                <c:pt idx="77">
                  <c:v>3336</c:v>
                </c:pt>
                <c:pt idx="78">
                  <c:v>3755</c:v>
                </c:pt>
                <c:pt idx="79">
                  <c:v>2561</c:v>
                </c:pt>
                <c:pt idx="80">
                  <c:v>2553</c:v>
                </c:pt>
                <c:pt idx="81">
                  <c:v>3142</c:v>
                </c:pt>
                <c:pt idx="82">
                  <c:v>2679</c:v>
                </c:pt>
                <c:pt idx="83">
                  <c:v>3351</c:v>
                </c:pt>
                <c:pt idx="84">
                  <c:v>2608</c:v>
                </c:pt>
                <c:pt idx="85">
                  <c:v>3337</c:v>
                </c:pt>
                <c:pt idx="86">
                  <c:v>2789</c:v>
                </c:pt>
                <c:pt idx="87">
                  <c:v>3094</c:v>
                </c:pt>
                <c:pt idx="88">
                  <c:v>2947</c:v>
                </c:pt>
                <c:pt idx="89">
                  <c:v>2988</c:v>
                </c:pt>
                <c:pt idx="90">
                  <c:v>2844</c:v>
                </c:pt>
                <c:pt idx="91">
                  <c:v>2702</c:v>
                </c:pt>
                <c:pt idx="92">
                  <c:v>2359</c:v>
                </c:pt>
                <c:pt idx="93">
                  <c:v>2975</c:v>
                </c:pt>
                <c:pt idx="94">
                  <c:v>2464</c:v>
                </c:pt>
                <c:pt idx="95">
                  <c:v>2641</c:v>
                </c:pt>
                <c:pt idx="96">
                  <c:v>2682</c:v>
                </c:pt>
                <c:pt idx="97">
                  <c:v>2484</c:v>
                </c:pt>
                <c:pt idx="98">
                  <c:v>2504</c:v>
                </c:pt>
                <c:pt idx="99">
                  <c:v>5007</c:v>
                </c:pt>
                <c:pt idx="100">
                  <c:v>2810</c:v>
                </c:pt>
                <c:pt idx="101">
                  <c:v>2721</c:v>
                </c:pt>
                <c:pt idx="102">
                  <c:v>3641</c:v>
                </c:pt>
                <c:pt idx="103">
                  <c:v>3858</c:v>
                </c:pt>
                <c:pt idx="104">
                  <c:v>2763</c:v>
                </c:pt>
                <c:pt idx="105">
                  <c:v>2744</c:v>
                </c:pt>
                <c:pt idx="106">
                  <c:v>3432</c:v>
                </c:pt>
                <c:pt idx="107">
                  <c:v>2875</c:v>
                </c:pt>
                <c:pt idx="108">
                  <c:v>3489</c:v>
                </c:pt>
                <c:pt idx="109">
                  <c:v>2789</c:v>
                </c:pt>
                <c:pt idx="110">
                  <c:v>3377</c:v>
                </c:pt>
                <c:pt idx="111">
                  <c:v>2961</c:v>
                </c:pt>
                <c:pt idx="112">
                  <c:v>3344</c:v>
                </c:pt>
                <c:pt idx="113">
                  <c:v>3129</c:v>
                </c:pt>
                <c:pt idx="114">
                  <c:v>3179</c:v>
                </c:pt>
                <c:pt idx="115">
                  <c:v>3033</c:v>
                </c:pt>
                <c:pt idx="116">
                  <c:v>2877</c:v>
                </c:pt>
                <c:pt idx="117">
                  <c:v>2527</c:v>
                </c:pt>
                <c:pt idx="118">
                  <c:v>3143</c:v>
                </c:pt>
                <c:pt idx="119">
                  <c:v>2617</c:v>
                </c:pt>
                <c:pt idx="120">
                  <c:v>2878</c:v>
                </c:pt>
                <c:pt idx="121">
                  <c:v>2829</c:v>
                </c:pt>
                <c:pt idx="122">
                  <c:v>2578</c:v>
                </c:pt>
                <c:pt idx="123">
                  <c:v>2690</c:v>
                </c:pt>
                <c:pt idx="124">
                  <c:v>5376</c:v>
                </c:pt>
                <c:pt idx="125">
                  <c:v>3396</c:v>
                </c:pt>
                <c:pt idx="126">
                  <c:v>3291</c:v>
                </c:pt>
                <c:pt idx="127">
                  <c:v>4366</c:v>
                </c:pt>
                <c:pt idx="128">
                  <c:v>4980</c:v>
                </c:pt>
                <c:pt idx="129">
                  <c:v>3271</c:v>
                </c:pt>
                <c:pt idx="130">
                  <c:v>3381</c:v>
                </c:pt>
                <c:pt idx="131">
                  <c:v>4200</c:v>
                </c:pt>
                <c:pt idx="132">
                  <c:v>3402</c:v>
                </c:pt>
                <c:pt idx="133">
                  <c:v>4153</c:v>
                </c:pt>
                <c:pt idx="134">
                  <c:v>3282</c:v>
                </c:pt>
                <c:pt idx="135">
                  <c:v>3427</c:v>
                </c:pt>
                <c:pt idx="136">
                  <c:v>3646</c:v>
                </c:pt>
                <c:pt idx="137">
                  <c:v>3984</c:v>
                </c:pt>
                <c:pt idx="138">
                  <c:v>3897</c:v>
                </c:pt>
                <c:pt idx="139">
                  <c:v>3783</c:v>
                </c:pt>
                <c:pt idx="140">
                  <c:v>3573</c:v>
                </c:pt>
                <c:pt idx="141">
                  <c:v>3449</c:v>
                </c:pt>
                <c:pt idx="142">
                  <c:v>2994</c:v>
                </c:pt>
                <c:pt idx="143">
                  <c:v>3697</c:v>
                </c:pt>
                <c:pt idx="144">
                  <c:v>3123</c:v>
                </c:pt>
                <c:pt idx="145">
                  <c:v>3371</c:v>
                </c:pt>
                <c:pt idx="146">
                  <c:v>3360</c:v>
                </c:pt>
                <c:pt idx="147">
                  <c:v>3050</c:v>
                </c:pt>
                <c:pt idx="148">
                  <c:v>3295</c:v>
                </c:pt>
                <c:pt idx="149">
                  <c:v>6732</c:v>
                </c:pt>
              </c:numCache>
            </c:numRef>
          </c:xVal>
          <c:yVal>
            <c:numRef>
              <c:f>Regression!$J$28:$J$177</c:f>
              <c:numCache>
                <c:formatCode>General</c:formatCode>
                <c:ptCount val="150"/>
                <c:pt idx="0">
                  <c:v>21694.439666115584</c:v>
                </c:pt>
                <c:pt idx="1">
                  <c:v>16396.69984936398</c:v>
                </c:pt>
                <c:pt idx="2">
                  <c:v>-22650.318567272334</c:v>
                </c:pt>
                <c:pt idx="3">
                  <c:v>17283.503809355927</c:v>
                </c:pt>
                <c:pt idx="4">
                  <c:v>21497.688132546577</c:v>
                </c:pt>
                <c:pt idx="5">
                  <c:v>-662.47783317208814</c:v>
                </c:pt>
                <c:pt idx="6">
                  <c:v>-19373.682989259949</c:v>
                </c:pt>
                <c:pt idx="7">
                  <c:v>15766.69389709994</c:v>
                </c:pt>
                <c:pt idx="8">
                  <c:v>-4668.2658938745153</c:v>
                </c:pt>
                <c:pt idx="9">
                  <c:v>13712.39476522895</c:v>
                </c:pt>
                <c:pt idx="10">
                  <c:v>24157.76159127718</c:v>
                </c:pt>
                <c:pt idx="11">
                  <c:v>15734.398133581592</c:v>
                </c:pt>
                <c:pt idx="12">
                  <c:v>-25284.876397386077</c:v>
                </c:pt>
                <c:pt idx="13">
                  <c:v>-18691.776852288691</c:v>
                </c:pt>
                <c:pt idx="14">
                  <c:v>41207.846209810814</c:v>
                </c:pt>
                <c:pt idx="15">
                  <c:v>20072.493012018211</c:v>
                </c:pt>
                <c:pt idx="16">
                  <c:v>16971.056559140823</c:v>
                </c:pt>
                <c:pt idx="17">
                  <c:v>25092.654622458875</c:v>
                </c:pt>
                <c:pt idx="18">
                  <c:v>30264.88878730229</c:v>
                </c:pt>
                <c:pt idx="19">
                  <c:v>12292.328564162723</c:v>
                </c:pt>
                <c:pt idx="20">
                  <c:v>23045.045170110308</c:v>
                </c:pt>
                <c:pt idx="21">
                  <c:v>21641.130579939352</c:v>
                </c:pt>
                <c:pt idx="22">
                  <c:v>19785.577604778482</c:v>
                </c:pt>
                <c:pt idx="23">
                  <c:v>23262.676524883362</c:v>
                </c:pt>
                <c:pt idx="24">
                  <c:v>-98575.586022675387</c:v>
                </c:pt>
                <c:pt idx="25">
                  <c:v>14423.945683179234</c:v>
                </c:pt>
                <c:pt idx="26">
                  <c:v>12336.24222413369</c:v>
                </c:pt>
                <c:pt idx="27">
                  <c:v>-13617.611328190716</c:v>
                </c:pt>
                <c:pt idx="28">
                  <c:v>7490.0727425869263</c:v>
                </c:pt>
                <c:pt idx="29">
                  <c:v>13416.476730127542</c:v>
                </c:pt>
                <c:pt idx="30">
                  <c:v>-11067.174449188722</c:v>
                </c:pt>
                <c:pt idx="31">
                  <c:v>-34659.404065818497</c:v>
                </c:pt>
                <c:pt idx="32">
                  <c:v>6675.8616824635756</c:v>
                </c:pt>
                <c:pt idx="33">
                  <c:v>-7010.0349477070267</c:v>
                </c:pt>
                <c:pt idx="34">
                  <c:v>1575.8369116452159</c:v>
                </c:pt>
                <c:pt idx="35">
                  <c:v>13468.272345454621</c:v>
                </c:pt>
                <c:pt idx="36">
                  <c:v>12709.298834655317</c:v>
                </c:pt>
                <c:pt idx="37">
                  <c:v>-40772.508122642161</c:v>
                </c:pt>
                <c:pt idx="38">
                  <c:v>-29936.769323899964</c:v>
                </c:pt>
                <c:pt idx="39">
                  <c:v>40419.547995002853</c:v>
                </c:pt>
                <c:pt idx="40">
                  <c:v>10076.202195481979</c:v>
                </c:pt>
                <c:pt idx="41">
                  <c:v>5061.8677892879277</c:v>
                </c:pt>
                <c:pt idx="42">
                  <c:v>17557.254406006283</c:v>
                </c:pt>
                <c:pt idx="43">
                  <c:v>29550.069395306055</c:v>
                </c:pt>
                <c:pt idx="44">
                  <c:v>1355.4583359613825</c:v>
                </c:pt>
                <c:pt idx="45">
                  <c:v>14988.284851904646</c:v>
                </c:pt>
                <c:pt idx="46">
                  <c:v>10890.174289423921</c:v>
                </c:pt>
                <c:pt idx="47">
                  <c:v>11416.9805841946</c:v>
                </c:pt>
                <c:pt idx="48">
                  <c:v>13532.141755464967</c:v>
                </c:pt>
                <c:pt idx="49">
                  <c:v>-68487.783883711556</c:v>
                </c:pt>
                <c:pt idx="50">
                  <c:v>8285.6211871350824</c:v>
                </c:pt>
                <c:pt idx="51">
                  <c:v>2232.278858167665</c:v>
                </c:pt>
                <c:pt idx="52">
                  <c:v>-1868.5402452092967</c:v>
                </c:pt>
                <c:pt idx="53">
                  <c:v>11427.116685314075</c:v>
                </c:pt>
                <c:pt idx="54">
                  <c:v>8857.4879337063321</c:v>
                </c:pt>
                <c:pt idx="55">
                  <c:v>-22854.715992770245</c:v>
                </c:pt>
                <c:pt idx="56">
                  <c:v>-49470.783259764023</c:v>
                </c:pt>
                <c:pt idx="57">
                  <c:v>-2144.4420562703745</c:v>
                </c:pt>
                <c:pt idx="58">
                  <c:v>6094.9689505474817</c:v>
                </c:pt>
                <c:pt idx="59">
                  <c:v>-7264.6860061855841</c:v>
                </c:pt>
                <c:pt idx="60">
                  <c:v>6009.2093114737363</c:v>
                </c:pt>
                <c:pt idx="61">
                  <c:v>10879.979578436963</c:v>
                </c:pt>
                <c:pt idx="62">
                  <c:v>-57086.473700349976</c:v>
                </c:pt>
                <c:pt idx="63">
                  <c:v>-24968.520332759566</c:v>
                </c:pt>
                <c:pt idx="64">
                  <c:v>38789.646747516235</c:v>
                </c:pt>
                <c:pt idx="65">
                  <c:v>-124.10262178423</c:v>
                </c:pt>
                <c:pt idx="66">
                  <c:v>-4770.5948473656026</c:v>
                </c:pt>
                <c:pt idx="67">
                  <c:v>7791.1603970095239</c:v>
                </c:pt>
                <c:pt idx="68">
                  <c:v>47649.802172336727</c:v>
                </c:pt>
                <c:pt idx="69">
                  <c:v>-7064.8580800668424</c:v>
                </c:pt>
                <c:pt idx="70">
                  <c:v>3470.8048203430371</c:v>
                </c:pt>
                <c:pt idx="71">
                  <c:v>8962.2831302286795</c:v>
                </c:pt>
                <c:pt idx="72">
                  <c:v>-239.38037387809891</c:v>
                </c:pt>
                <c:pt idx="73">
                  <c:v>7292.2433700756956</c:v>
                </c:pt>
                <c:pt idx="74">
                  <c:v>-14960.668255430297</c:v>
                </c:pt>
                <c:pt idx="75">
                  <c:v>6812.1967694490013</c:v>
                </c:pt>
                <c:pt idx="76">
                  <c:v>2786.6885271785868</c:v>
                </c:pt>
                <c:pt idx="77">
                  <c:v>-15815.961005733931</c:v>
                </c:pt>
                <c:pt idx="78">
                  <c:v>11605.616707202571</c:v>
                </c:pt>
                <c:pt idx="79">
                  <c:v>-981.78843466953549</c:v>
                </c:pt>
                <c:pt idx="80">
                  <c:v>-22349.486827838016</c:v>
                </c:pt>
                <c:pt idx="81">
                  <c:v>-51620.4054896296</c:v>
                </c:pt>
                <c:pt idx="82">
                  <c:v>-7540.7319885014585</c:v>
                </c:pt>
                <c:pt idx="83">
                  <c:v>2381.1972827246354</c:v>
                </c:pt>
                <c:pt idx="84">
                  <c:v>-17701.214374078583</c:v>
                </c:pt>
                <c:pt idx="85">
                  <c:v>279.51612013923295</c:v>
                </c:pt>
                <c:pt idx="86">
                  <c:v>18560.897675865912</c:v>
                </c:pt>
                <c:pt idx="87">
                  <c:v>-65356.440910771023</c:v>
                </c:pt>
                <c:pt idx="88">
                  <c:v>-20714.587189397716</c:v>
                </c:pt>
                <c:pt idx="89">
                  <c:v>29894.585562855122</c:v>
                </c:pt>
                <c:pt idx="90">
                  <c:v>-6932.5651423739037</c:v>
                </c:pt>
                <c:pt idx="91">
                  <c:v>-15076.182199482108</c:v>
                </c:pt>
                <c:pt idx="92">
                  <c:v>4870.8297032921328</c:v>
                </c:pt>
                <c:pt idx="93">
                  <c:v>40861.326234565</c:v>
                </c:pt>
                <c:pt idx="94">
                  <c:v>-14307.260356859973</c:v>
                </c:pt>
                <c:pt idx="95">
                  <c:v>-3082.9387452053343</c:v>
                </c:pt>
                <c:pt idx="96">
                  <c:v>1474.5305189628853</c:v>
                </c:pt>
                <c:pt idx="97">
                  <c:v>-3403.1435093307664</c:v>
                </c:pt>
                <c:pt idx="98">
                  <c:v>-1767.4634757294843</c:v>
                </c:pt>
                <c:pt idx="99">
                  <c:v>-40455.938028577133</c:v>
                </c:pt>
                <c:pt idx="100">
                  <c:v>8244.5305351880961</c:v>
                </c:pt>
                <c:pt idx="101">
                  <c:v>-468.11524171690689</c:v>
                </c:pt>
                <c:pt idx="102">
                  <c:v>-12096.463790864334</c:v>
                </c:pt>
                <c:pt idx="103">
                  <c:v>27142.93384316453</c:v>
                </c:pt>
                <c:pt idx="104">
                  <c:v>-1820.4607502285944</c:v>
                </c:pt>
                <c:pt idx="105">
                  <c:v>-29219.769072854993</c:v>
                </c:pt>
                <c:pt idx="106">
                  <c:v>-48962.387575377536</c:v>
                </c:pt>
                <c:pt idx="107">
                  <c:v>-7482.3170589928923</c:v>
                </c:pt>
                <c:pt idx="108">
                  <c:v>22276.540514563152</c:v>
                </c:pt>
                <c:pt idx="109">
                  <c:v>-29211.980073341794</c:v>
                </c:pt>
                <c:pt idx="110">
                  <c:v>2152.6774839090212</c:v>
                </c:pt>
                <c:pt idx="111">
                  <c:v>25819.662248730747</c:v>
                </c:pt>
                <c:pt idx="112">
                  <c:v>-70338.595803769131</c:v>
                </c:pt>
                <c:pt idx="113">
                  <c:v>-6023.8971738592372</c:v>
                </c:pt>
                <c:pt idx="114">
                  <c:v>17692.19779540223</c:v>
                </c:pt>
                <c:pt idx="115">
                  <c:v>-11406.940901687136</c:v>
                </c:pt>
                <c:pt idx="116">
                  <c:v>-21906.698671279912</c:v>
                </c:pt>
                <c:pt idx="117">
                  <c:v>633.23014431190677</c:v>
                </c:pt>
                <c:pt idx="118">
                  <c:v>36252.558183610789</c:v>
                </c:pt>
                <c:pt idx="119">
                  <c:v>-15335.727219231776</c:v>
                </c:pt>
                <c:pt idx="120">
                  <c:v>-1240.1955816902628</c:v>
                </c:pt>
                <c:pt idx="121">
                  <c:v>1438.3360012496851</c:v>
                </c:pt>
                <c:pt idx="122">
                  <c:v>-6045.3432080962084</c:v>
                </c:pt>
                <c:pt idx="123">
                  <c:v>-6752.8818241745175</c:v>
                </c:pt>
                <c:pt idx="124">
                  <c:v>11356.074857532163</c:v>
                </c:pt>
                <c:pt idx="125">
                  <c:v>21028.803321955493</c:v>
                </c:pt>
                <c:pt idx="126">
                  <c:v>-12180.801787856995</c:v>
                </c:pt>
                <c:pt idx="127">
                  <c:v>45845.254093555501</c:v>
                </c:pt>
                <c:pt idx="128">
                  <c:v>6276.6455526726786</c:v>
                </c:pt>
                <c:pt idx="129">
                  <c:v>-2917.4018334192806</c:v>
                </c:pt>
                <c:pt idx="130">
                  <c:v>-44614.8302044312</c:v>
                </c:pt>
                <c:pt idx="131">
                  <c:v>-54914.983807107725</c:v>
                </c:pt>
                <c:pt idx="132">
                  <c:v>-5597.2796072362544</c:v>
                </c:pt>
                <c:pt idx="133">
                  <c:v>27281.32955239102</c:v>
                </c:pt>
                <c:pt idx="134">
                  <c:v>-26832.093895880753</c:v>
                </c:pt>
                <c:pt idx="135">
                  <c:v>5376.5579271852039</c:v>
                </c:pt>
                <c:pt idx="136">
                  <c:v>42526.596438025736</c:v>
                </c:pt>
                <c:pt idx="137">
                  <c:v>-96010.519227387063</c:v>
                </c:pt>
                <c:pt idx="138">
                  <c:v>16033.922362164187</c:v>
                </c:pt>
                <c:pt idx="139">
                  <c:v>48614.118069918302</c:v>
                </c:pt>
                <c:pt idx="140">
                  <c:v>-21834.255782583146</c:v>
                </c:pt>
                <c:pt idx="141">
                  <c:v>-24427.008046691844</c:v>
                </c:pt>
                <c:pt idx="142">
                  <c:v>-6139.7518061006995</c:v>
                </c:pt>
                <c:pt idx="143">
                  <c:v>61480.830935321894</c:v>
                </c:pt>
                <c:pt idx="144">
                  <c:v>-18978.948353148444</c:v>
                </c:pt>
                <c:pt idx="145">
                  <c:v>-5572.4309781844204</c:v>
                </c:pt>
                <c:pt idx="146">
                  <c:v>-2243.2300749143469</c:v>
                </c:pt>
                <c:pt idx="147">
                  <c:v>-15809.187195586448</c:v>
                </c:pt>
                <c:pt idx="148">
                  <c:v>-6262.900563873045</c:v>
                </c:pt>
                <c:pt idx="149">
                  <c:v>156463.48690183368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66-4C55-B7AA-AF91093585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205200"/>
        <c:axId val="1657203760"/>
      </c:scatterChart>
      <c:valAx>
        <c:axId val="165720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Independent Var 4 (X4)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7203760"/>
        <c:crosses val="autoZero"/>
        <c:crossBetween val="midCat"/>
      </c:valAx>
      <c:valAx>
        <c:axId val="16572037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Residuals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720520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Independent Var 1 (X1)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Dependent Variable (Y)</c:v>
          </c:tx>
          <c:spPr>
            <a:ln w="38100">
              <a:noFill/>
            </a:ln>
          </c:spPr>
          <c:xVal>
            <c:numRef>
              <c:f>Regression!$B$2:$B$151</c:f>
              <c:numCache>
                <c:formatCode>0</c:formatCode>
                <c:ptCount val="150"/>
                <c:pt idx="0">
                  <c:v>34931</c:v>
                </c:pt>
                <c:pt idx="1">
                  <c:v>30013</c:v>
                </c:pt>
                <c:pt idx="2">
                  <c:v>44366</c:v>
                </c:pt>
                <c:pt idx="3">
                  <c:v>20927</c:v>
                </c:pt>
                <c:pt idx="4">
                  <c:v>32979</c:v>
                </c:pt>
                <c:pt idx="5">
                  <c:v>26856</c:v>
                </c:pt>
                <c:pt idx="6">
                  <c:v>43462</c:v>
                </c:pt>
                <c:pt idx="7">
                  <c:v>31719</c:v>
                </c:pt>
                <c:pt idx="8">
                  <c:v>40127</c:v>
                </c:pt>
                <c:pt idx="9">
                  <c:v>32745</c:v>
                </c:pt>
                <c:pt idx="10">
                  <c:v>13793</c:v>
                </c:pt>
                <c:pt idx="11">
                  <c:v>35325</c:v>
                </c:pt>
                <c:pt idx="12">
                  <c:v>34971</c:v>
                </c:pt>
                <c:pt idx="13">
                  <c:v>39132</c:v>
                </c:pt>
                <c:pt idx="14">
                  <c:v>37938</c:v>
                </c:pt>
                <c:pt idx="15">
                  <c:v>31295</c:v>
                </c:pt>
                <c:pt idx="16">
                  <c:v>36084</c:v>
                </c:pt>
                <c:pt idx="17">
                  <c:v>28195</c:v>
                </c:pt>
                <c:pt idx="18">
                  <c:v>38197</c:v>
                </c:pt>
                <c:pt idx="19">
                  <c:v>32968</c:v>
                </c:pt>
                <c:pt idx="20">
                  <c:v>34395</c:v>
                </c:pt>
                <c:pt idx="21">
                  <c:v>32327</c:v>
                </c:pt>
                <c:pt idx="22">
                  <c:v>28361</c:v>
                </c:pt>
                <c:pt idx="23">
                  <c:v>33231</c:v>
                </c:pt>
                <c:pt idx="24">
                  <c:v>92254</c:v>
                </c:pt>
                <c:pt idx="25">
                  <c:v>45436</c:v>
                </c:pt>
                <c:pt idx="26">
                  <c:v>38514</c:v>
                </c:pt>
                <c:pt idx="27">
                  <c:v>57333</c:v>
                </c:pt>
                <c:pt idx="28">
                  <c:v>25278</c:v>
                </c:pt>
                <c:pt idx="29">
                  <c:v>42684</c:v>
                </c:pt>
                <c:pt idx="30">
                  <c:v>33891</c:v>
                </c:pt>
                <c:pt idx="31">
                  <c:v>54261</c:v>
                </c:pt>
                <c:pt idx="32">
                  <c:v>40580</c:v>
                </c:pt>
                <c:pt idx="33">
                  <c:v>50664</c:v>
                </c:pt>
                <c:pt idx="34">
                  <c:v>42227</c:v>
                </c:pt>
                <c:pt idx="35">
                  <c:v>16416</c:v>
                </c:pt>
                <c:pt idx="36">
                  <c:v>44981</c:v>
                </c:pt>
                <c:pt idx="37">
                  <c:v>45356</c:v>
                </c:pt>
                <c:pt idx="38">
                  <c:v>50111</c:v>
                </c:pt>
                <c:pt idx="39">
                  <c:v>48663</c:v>
                </c:pt>
                <c:pt idx="40">
                  <c:v>40325</c:v>
                </c:pt>
                <c:pt idx="41">
                  <c:v>45852</c:v>
                </c:pt>
                <c:pt idx="42">
                  <c:v>36204</c:v>
                </c:pt>
                <c:pt idx="43">
                  <c:v>48370</c:v>
                </c:pt>
                <c:pt idx="44">
                  <c:v>41695</c:v>
                </c:pt>
                <c:pt idx="45">
                  <c:v>43638</c:v>
                </c:pt>
                <c:pt idx="46">
                  <c:v>41854</c:v>
                </c:pt>
                <c:pt idx="47">
                  <c:v>36215</c:v>
                </c:pt>
                <c:pt idx="48">
                  <c:v>42501</c:v>
                </c:pt>
                <c:pt idx="49">
                  <c:v>118208</c:v>
                </c:pt>
                <c:pt idx="50">
                  <c:v>54992</c:v>
                </c:pt>
                <c:pt idx="51">
                  <c:v>46475</c:v>
                </c:pt>
                <c:pt idx="52">
                  <c:v>72883</c:v>
                </c:pt>
                <c:pt idx="53">
                  <c:v>31888</c:v>
                </c:pt>
                <c:pt idx="54">
                  <c:v>52136</c:v>
                </c:pt>
                <c:pt idx="55">
                  <c:v>40472</c:v>
                </c:pt>
                <c:pt idx="56">
                  <c:v>67983</c:v>
                </c:pt>
                <c:pt idx="57">
                  <c:v>48368</c:v>
                </c:pt>
                <c:pt idx="58">
                  <c:v>63498</c:v>
                </c:pt>
                <c:pt idx="59">
                  <c:v>51018</c:v>
                </c:pt>
                <c:pt idx="60">
                  <c:v>20619</c:v>
                </c:pt>
                <c:pt idx="61">
                  <c:v>55511</c:v>
                </c:pt>
                <c:pt idx="62">
                  <c:v>55544</c:v>
                </c:pt>
                <c:pt idx="63">
                  <c:v>61166</c:v>
                </c:pt>
                <c:pt idx="64">
                  <c:v>60218</c:v>
                </c:pt>
                <c:pt idx="65">
                  <c:v>47729</c:v>
                </c:pt>
                <c:pt idx="66">
                  <c:v>55934</c:v>
                </c:pt>
                <c:pt idx="67">
                  <c:v>43513</c:v>
                </c:pt>
                <c:pt idx="68">
                  <c:v>60118</c:v>
                </c:pt>
                <c:pt idx="69">
                  <c:v>50109</c:v>
                </c:pt>
                <c:pt idx="70">
                  <c:v>52488</c:v>
                </c:pt>
                <c:pt idx="71">
                  <c:v>50293</c:v>
                </c:pt>
                <c:pt idx="72">
                  <c:v>42850</c:v>
                </c:pt>
                <c:pt idx="73">
                  <c:v>50895</c:v>
                </c:pt>
                <c:pt idx="74">
                  <c:v>141174</c:v>
                </c:pt>
                <c:pt idx="75">
                  <c:v>65503</c:v>
                </c:pt>
                <c:pt idx="76">
                  <c:v>53990</c:v>
                </c:pt>
                <c:pt idx="77">
                  <c:v>89042</c:v>
                </c:pt>
                <c:pt idx="78">
                  <c:v>39843</c:v>
                </c:pt>
                <c:pt idx="79">
                  <c:v>62571</c:v>
                </c:pt>
                <c:pt idx="80">
                  <c:v>47852</c:v>
                </c:pt>
                <c:pt idx="81">
                  <c:v>76062</c:v>
                </c:pt>
                <c:pt idx="82">
                  <c:v>56514</c:v>
                </c:pt>
                <c:pt idx="83">
                  <c:v>76232</c:v>
                </c:pt>
                <c:pt idx="84">
                  <c:v>58461</c:v>
                </c:pt>
                <c:pt idx="85">
                  <c:v>24975</c:v>
                </c:pt>
                <c:pt idx="86">
                  <c:v>67353</c:v>
                </c:pt>
                <c:pt idx="87">
                  <c:v>64700</c:v>
                </c:pt>
                <c:pt idx="88">
                  <c:v>75288</c:v>
                </c:pt>
                <c:pt idx="89">
                  <c:v>72843</c:v>
                </c:pt>
                <c:pt idx="90">
                  <c:v>55917</c:v>
                </c:pt>
                <c:pt idx="91">
                  <c:v>65932</c:v>
                </c:pt>
                <c:pt idx="92">
                  <c:v>50536</c:v>
                </c:pt>
                <c:pt idx="93">
                  <c:v>66547</c:v>
                </c:pt>
                <c:pt idx="94">
                  <c:v>58129</c:v>
                </c:pt>
                <c:pt idx="95">
                  <c:v>58934</c:v>
                </c:pt>
                <c:pt idx="96">
                  <c:v>59626</c:v>
                </c:pt>
                <c:pt idx="97">
                  <c:v>49142</c:v>
                </c:pt>
                <c:pt idx="98">
                  <c:v>59972</c:v>
                </c:pt>
                <c:pt idx="99">
                  <c:v>173677</c:v>
                </c:pt>
                <c:pt idx="100">
                  <c:v>70939</c:v>
                </c:pt>
                <c:pt idx="101">
                  <c:v>57973</c:v>
                </c:pt>
                <c:pt idx="102">
                  <c:v>94804</c:v>
                </c:pt>
                <c:pt idx="103">
                  <c:v>42219</c:v>
                </c:pt>
                <c:pt idx="104">
                  <c:v>66651</c:v>
                </c:pt>
                <c:pt idx="105">
                  <c:v>52379</c:v>
                </c:pt>
                <c:pt idx="106">
                  <c:v>83309</c:v>
                </c:pt>
                <c:pt idx="107">
                  <c:v>61088</c:v>
                </c:pt>
                <c:pt idx="108">
                  <c:v>80274</c:v>
                </c:pt>
                <c:pt idx="109">
                  <c:v>64510</c:v>
                </c:pt>
                <c:pt idx="110">
                  <c:v>27274</c:v>
                </c:pt>
                <c:pt idx="111">
                  <c:v>73092</c:v>
                </c:pt>
                <c:pt idx="112">
                  <c:v>69884</c:v>
                </c:pt>
                <c:pt idx="113">
                  <c:v>82007</c:v>
                </c:pt>
                <c:pt idx="114">
                  <c:v>78813</c:v>
                </c:pt>
                <c:pt idx="115">
                  <c:v>59350</c:v>
                </c:pt>
                <c:pt idx="116">
                  <c:v>71955</c:v>
                </c:pt>
                <c:pt idx="117">
                  <c:v>55776</c:v>
                </c:pt>
                <c:pt idx="118">
                  <c:v>75923</c:v>
                </c:pt>
                <c:pt idx="119">
                  <c:v>63853</c:v>
                </c:pt>
                <c:pt idx="120">
                  <c:v>65411</c:v>
                </c:pt>
                <c:pt idx="121">
                  <c:v>64852</c:v>
                </c:pt>
                <c:pt idx="122">
                  <c:v>54178</c:v>
                </c:pt>
                <c:pt idx="123">
                  <c:v>65815</c:v>
                </c:pt>
                <c:pt idx="124">
                  <c:v>182547</c:v>
                </c:pt>
                <c:pt idx="125">
                  <c:v>81970</c:v>
                </c:pt>
                <c:pt idx="126">
                  <c:v>65481</c:v>
                </c:pt>
                <c:pt idx="127">
                  <c:v>107671</c:v>
                </c:pt>
                <c:pt idx="128">
                  <c:v>47604</c:v>
                </c:pt>
                <c:pt idx="129">
                  <c:v>76107</c:v>
                </c:pt>
                <c:pt idx="130">
                  <c:v>58844</c:v>
                </c:pt>
                <c:pt idx="131">
                  <c:v>93475</c:v>
                </c:pt>
                <c:pt idx="132">
                  <c:v>68561</c:v>
                </c:pt>
                <c:pt idx="133">
                  <c:v>96293</c:v>
                </c:pt>
                <c:pt idx="134">
                  <c:v>73146</c:v>
                </c:pt>
                <c:pt idx="135">
                  <c:v>31390</c:v>
                </c:pt>
                <c:pt idx="136">
                  <c:v>85195</c:v>
                </c:pt>
                <c:pt idx="137">
                  <c:v>81870</c:v>
                </c:pt>
                <c:pt idx="138">
                  <c:v>93001</c:v>
                </c:pt>
                <c:pt idx="139">
                  <c:v>92260</c:v>
                </c:pt>
                <c:pt idx="140">
                  <c:v>67727</c:v>
                </c:pt>
                <c:pt idx="141">
                  <c:v>83307</c:v>
                </c:pt>
                <c:pt idx="142">
                  <c:v>65084</c:v>
                </c:pt>
                <c:pt idx="143">
                  <c:v>88863</c:v>
                </c:pt>
                <c:pt idx="144">
                  <c:v>73624</c:v>
                </c:pt>
                <c:pt idx="145">
                  <c:v>75606</c:v>
                </c:pt>
                <c:pt idx="146">
                  <c:v>76673</c:v>
                </c:pt>
                <c:pt idx="147">
                  <c:v>61612</c:v>
                </c:pt>
                <c:pt idx="148">
                  <c:v>73742</c:v>
                </c:pt>
                <c:pt idx="149">
                  <c:v>211620</c:v>
                </c:pt>
              </c:numCache>
            </c:numRef>
          </c:xVal>
          <c:yVal>
            <c:numRef>
              <c:f>Regression!$A$2:$A$151</c:f>
              <c:numCache>
                <c:formatCode>0</c:formatCode>
                <c:ptCount val="150"/>
                <c:pt idx="0">
                  <c:v>74411</c:v>
                </c:pt>
                <c:pt idx="1">
                  <c:v>35744</c:v>
                </c:pt>
                <c:pt idx="2">
                  <c:v>244478</c:v>
                </c:pt>
                <c:pt idx="3">
                  <c:v>137500</c:v>
                </c:pt>
                <c:pt idx="4">
                  <c:v>47919</c:v>
                </c:pt>
                <c:pt idx="5">
                  <c:v>32390</c:v>
                </c:pt>
                <c:pt idx="6">
                  <c:v>104323</c:v>
                </c:pt>
                <c:pt idx="7">
                  <c:v>51404</c:v>
                </c:pt>
                <c:pt idx="8">
                  <c:v>128638</c:v>
                </c:pt>
                <c:pt idx="9">
                  <c:v>46021</c:v>
                </c:pt>
                <c:pt idx="10">
                  <c:v>31356</c:v>
                </c:pt>
                <c:pt idx="11">
                  <c:v>114842</c:v>
                </c:pt>
                <c:pt idx="12">
                  <c:v>57815</c:v>
                </c:pt>
                <c:pt idx="13">
                  <c:v>119800</c:v>
                </c:pt>
                <c:pt idx="14">
                  <c:v>116272</c:v>
                </c:pt>
                <c:pt idx="15">
                  <c:v>39469</c:v>
                </c:pt>
                <c:pt idx="16">
                  <c:v>46287</c:v>
                </c:pt>
                <c:pt idx="17">
                  <c:v>31072</c:v>
                </c:pt>
                <c:pt idx="18">
                  <c:v>154871</c:v>
                </c:pt>
                <c:pt idx="19">
                  <c:v>38743</c:v>
                </c:pt>
                <c:pt idx="20">
                  <c:v>48859</c:v>
                </c:pt>
                <c:pt idx="21">
                  <c:v>59412</c:v>
                </c:pt>
                <c:pt idx="22">
                  <c:v>21239</c:v>
                </c:pt>
                <c:pt idx="23">
                  <c:v>43362</c:v>
                </c:pt>
                <c:pt idx="24">
                  <c:v>559140</c:v>
                </c:pt>
                <c:pt idx="25">
                  <c:v>92288</c:v>
                </c:pt>
                <c:pt idx="26">
                  <c:v>51919</c:v>
                </c:pt>
                <c:pt idx="27">
                  <c:v>313527</c:v>
                </c:pt>
                <c:pt idx="28">
                  <c:v>165932</c:v>
                </c:pt>
                <c:pt idx="29">
                  <c:v>61424</c:v>
                </c:pt>
                <c:pt idx="30">
                  <c:v>43037</c:v>
                </c:pt>
                <c:pt idx="31">
                  <c:v>130187</c:v>
                </c:pt>
                <c:pt idx="32">
                  <c:v>63809</c:v>
                </c:pt>
                <c:pt idx="33">
                  <c:v>156829</c:v>
                </c:pt>
                <c:pt idx="34">
                  <c:v>52978</c:v>
                </c:pt>
                <c:pt idx="35">
                  <c:v>30265</c:v>
                </c:pt>
                <c:pt idx="36">
                  <c:v>147308</c:v>
                </c:pt>
                <c:pt idx="37">
                  <c:v>69299</c:v>
                </c:pt>
                <c:pt idx="38">
                  <c:v>149392</c:v>
                </c:pt>
                <c:pt idx="39">
                  <c:v>150543</c:v>
                </c:pt>
                <c:pt idx="40">
                  <c:v>48796</c:v>
                </c:pt>
                <c:pt idx="41">
                  <c:v>56473</c:v>
                </c:pt>
                <c:pt idx="42">
                  <c:v>40715</c:v>
                </c:pt>
                <c:pt idx="43">
                  <c:v>187238</c:v>
                </c:pt>
                <c:pt idx="44">
                  <c:v>47819</c:v>
                </c:pt>
                <c:pt idx="45">
                  <c:v>63808</c:v>
                </c:pt>
                <c:pt idx="46">
                  <c:v>73073</c:v>
                </c:pt>
                <c:pt idx="47">
                  <c:v>28579</c:v>
                </c:pt>
                <c:pt idx="48">
                  <c:v>56611</c:v>
                </c:pt>
                <c:pt idx="49">
                  <c:v>699378</c:v>
                </c:pt>
                <c:pt idx="50">
                  <c:v>111489</c:v>
                </c:pt>
                <c:pt idx="51">
                  <c:v>60445</c:v>
                </c:pt>
                <c:pt idx="52">
                  <c:v>369356</c:v>
                </c:pt>
                <c:pt idx="53">
                  <c:v>192161</c:v>
                </c:pt>
                <c:pt idx="54">
                  <c:v>77103</c:v>
                </c:pt>
                <c:pt idx="55">
                  <c:v>52445</c:v>
                </c:pt>
                <c:pt idx="56">
                  <c:v>147043</c:v>
                </c:pt>
                <c:pt idx="57">
                  <c:v>78439</c:v>
                </c:pt>
                <c:pt idx="58">
                  <c:v>198142</c:v>
                </c:pt>
                <c:pt idx="59">
                  <c:v>64417</c:v>
                </c:pt>
                <c:pt idx="60">
                  <c:v>35204</c:v>
                </c:pt>
                <c:pt idx="61">
                  <c:v>177233</c:v>
                </c:pt>
                <c:pt idx="62">
                  <c:v>79903</c:v>
                </c:pt>
                <c:pt idx="63">
                  <c:v>173224</c:v>
                </c:pt>
                <c:pt idx="64">
                  <c:v>174089</c:v>
                </c:pt>
                <c:pt idx="65">
                  <c:v>56835</c:v>
                </c:pt>
                <c:pt idx="66">
                  <c:v>68476</c:v>
                </c:pt>
                <c:pt idx="67">
                  <c:v>49127</c:v>
                </c:pt>
                <c:pt idx="68">
                  <c:v>233279</c:v>
                </c:pt>
                <c:pt idx="69">
                  <c:v>55152</c:v>
                </c:pt>
                <c:pt idx="70">
                  <c:v>75638</c:v>
                </c:pt>
                <c:pt idx="71">
                  <c:v>93287</c:v>
                </c:pt>
                <c:pt idx="72">
                  <c:v>33905</c:v>
                </c:pt>
                <c:pt idx="73">
                  <c:v>70611</c:v>
                </c:pt>
                <c:pt idx="74">
                  <c:v>833299</c:v>
                </c:pt>
                <c:pt idx="75">
                  <c:v>129097</c:v>
                </c:pt>
                <c:pt idx="76">
                  <c:v>75637</c:v>
                </c:pt>
                <c:pt idx="77">
                  <c:v>390325</c:v>
                </c:pt>
                <c:pt idx="78">
                  <c:v>204893</c:v>
                </c:pt>
                <c:pt idx="79">
                  <c:v>85267</c:v>
                </c:pt>
                <c:pt idx="80">
                  <c:v>61325</c:v>
                </c:pt>
                <c:pt idx="81">
                  <c:v>155158</c:v>
                </c:pt>
                <c:pt idx="82">
                  <c:v>86679</c:v>
                </c:pt>
                <c:pt idx="83">
                  <c:v>218647</c:v>
                </c:pt>
                <c:pt idx="84">
                  <c:v>73066</c:v>
                </c:pt>
                <c:pt idx="85">
                  <c:v>40291</c:v>
                </c:pt>
                <c:pt idx="86">
                  <c:v>214400</c:v>
                </c:pt>
                <c:pt idx="87">
                  <c:v>92427</c:v>
                </c:pt>
                <c:pt idx="88">
                  <c:v>197153</c:v>
                </c:pt>
                <c:pt idx="89">
                  <c:v>187289</c:v>
                </c:pt>
                <c:pt idx="90">
                  <c:v>67363</c:v>
                </c:pt>
                <c:pt idx="91">
                  <c:v>75827</c:v>
                </c:pt>
                <c:pt idx="92">
                  <c:v>57140</c:v>
                </c:pt>
                <c:pt idx="93">
                  <c:v>247592</c:v>
                </c:pt>
                <c:pt idx="94">
                  <c:v>61939</c:v>
                </c:pt>
                <c:pt idx="95">
                  <c:v>83006</c:v>
                </c:pt>
                <c:pt idx="96">
                  <c:v>103466</c:v>
                </c:pt>
                <c:pt idx="97">
                  <c:v>41660</c:v>
                </c:pt>
                <c:pt idx="98">
                  <c:v>77981</c:v>
                </c:pt>
                <c:pt idx="99">
                  <c:v>949570</c:v>
                </c:pt>
                <c:pt idx="100">
                  <c:v>135867</c:v>
                </c:pt>
                <c:pt idx="101">
                  <c:v>77404</c:v>
                </c:pt>
                <c:pt idx="102">
                  <c:v>398732</c:v>
                </c:pt>
                <c:pt idx="103">
                  <c:v>206309</c:v>
                </c:pt>
                <c:pt idx="104">
                  <c:v>91365</c:v>
                </c:pt>
                <c:pt idx="105">
                  <c:v>62022</c:v>
                </c:pt>
                <c:pt idx="106">
                  <c:v>167260</c:v>
                </c:pt>
                <c:pt idx="107">
                  <c:v>90398</c:v>
                </c:pt>
                <c:pt idx="108">
                  <c:v>242406</c:v>
                </c:pt>
                <c:pt idx="109">
                  <c:v>75208</c:v>
                </c:pt>
                <c:pt idx="110">
                  <c:v>43204</c:v>
                </c:pt>
                <c:pt idx="111">
                  <c:v>236254</c:v>
                </c:pt>
                <c:pt idx="112">
                  <c:v>96648</c:v>
                </c:pt>
                <c:pt idx="113">
                  <c:v>220242</c:v>
                </c:pt>
                <c:pt idx="114">
                  <c:v>188424</c:v>
                </c:pt>
                <c:pt idx="115">
                  <c:v>71901</c:v>
                </c:pt>
                <c:pt idx="116">
                  <c:v>80432</c:v>
                </c:pt>
                <c:pt idx="117">
                  <c:v>62661</c:v>
                </c:pt>
                <c:pt idx="118">
                  <c:v>257805</c:v>
                </c:pt>
                <c:pt idx="119">
                  <c:v>68467</c:v>
                </c:pt>
                <c:pt idx="120">
                  <c:v>96380</c:v>
                </c:pt>
                <c:pt idx="121">
                  <c:v>108822</c:v>
                </c:pt>
                <c:pt idx="122">
                  <c:v>45054</c:v>
                </c:pt>
                <c:pt idx="123">
                  <c:v>84068</c:v>
                </c:pt>
                <c:pt idx="124">
                  <c:v>1014693</c:v>
                </c:pt>
                <c:pt idx="125">
                  <c:v>173531</c:v>
                </c:pt>
                <c:pt idx="126">
                  <c:v>92535</c:v>
                </c:pt>
                <c:pt idx="127">
                  <c:v>582363</c:v>
                </c:pt>
                <c:pt idx="128">
                  <c:v>283326</c:v>
                </c:pt>
                <c:pt idx="129">
                  <c:v>113919</c:v>
                </c:pt>
                <c:pt idx="130">
                  <c:v>75626</c:v>
                </c:pt>
                <c:pt idx="131">
                  <c:v>228906</c:v>
                </c:pt>
                <c:pt idx="132">
                  <c:v>119680</c:v>
                </c:pt>
                <c:pt idx="133">
                  <c:v>291519</c:v>
                </c:pt>
                <c:pt idx="134">
                  <c:v>99564</c:v>
                </c:pt>
                <c:pt idx="135">
                  <c:v>52135</c:v>
                </c:pt>
                <c:pt idx="136">
                  <c:v>296182</c:v>
                </c:pt>
                <c:pt idx="137">
                  <c:v>124162</c:v>
                </c:pt>
                <c:pt idx="138">
                  <c:v>271669</c:v>
                </c:pt>
                <c:pt idx="139">
                  <c:v>266694</c:v>
                </c:pt>
                <c:pt idx="140">
                  <c:v>88859</c:v>
                </c:pt>
                <c:pt idx="141">
                  <c:v>105254</c:v>
                </c:pt>
                <c:pt idx="142">
                  <c:v>81485</c:v>
                </c:pt>
                <c:pt idx="143">
                  <c:v>319796</c:v>
                </c:pt>
                <c:pt idx="144">
                  <c:v>88182</c:v>
                </c:pt>
                <c:pt idx="145">
                  <c:v>119876</c:v>
                </c:pt>
                <c:pt idx="146">
                  <c:v>131154</c:v>
                </c:pt>
                <c:pt idx="147">
                  <c:v>54582</c:v>
                </c:pt>
                <c:pt idx="148">
                  <c:v>113474</c:v>
                </c:pt>
                <c:pt idx="149">
                  <c:v>1276376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40-4BF5-847A-02C01976E72B}"/>
            </c:ext>
          </c:extLst>
        </c:ser>
        <c:ser>
          <c:idx val="1"/>
          <c:order val="1"/>
          <c:tx>
            <c:v>Predicted Dependent Variable (Y)</c:v>
          </c:tx>
          <c:spPr>
            <a:ln w="38100">
              <a:noFill/>
            </a:ln>
          </c:spPr>
          <c:xVal>
            <c:numRef>
              <c:f>Regression!$B$2:$B$151</c:f>
              <c:numCache>
                <c:formatCode>0</c:formatCode>
                <c:ptCount val="150"/>
                <c:pt idx="0">
                  <c:v>34931</c:v>
                </c:pt>
                <c:pt idx="1">
                  <c:v>30013</c:v>
                </c:pt>
                <c:pt idx="2">
                  <c:v>44366</c:v>
                </c:pt>
                <c:pt idx="3">
                  <c:v>20927</c:v>
                </c:pt>
                <c:pt idx="4">
                  <c:v>32979</c:v>
                </c:pt>
                <c:pt idx="5">
                  <c:v>26856</c:v>
                </c:pt>
                <c:pt idx="6">
                  <c:v>43462</c:v>
                </c:pt>
                <c:pt idx="7">
                  <c:v>31719</c:v>
                </c:pt>
                <c:pt idx="8">
                  <c:v>40127</c:v>
                </c:pt>
                <c:pt idx="9">
                  <c:v>32745</c:v>
                </c:pt>
                <c:pt idx="10">
                  <c:v>13793</c:v>
                </c:pt>
                <c:pt idx="11">
                  <c:v>35325</c:v>
                </c:pt>
                <c:pt idx="12">
                  <c:v>34971</c:v>
                </c:pt>
                <c:pt idx="13">
                  <c:v>39132</c:v>
                </c:pt>
                <c:pt idx="14">
                  <c:v>37938</c:v>
                </c:pt>
                <c:pt idx="15">
                  <c:v>31295</c:v>
                </c:pt>
                <c:pt idx="16">
                  <c:v>36084</c:v>
                </c:pt>
                <c:pt idx="17">
                  <c:v>28195</c:v>
                </c:pt>
                <c:pt idx="18">
                  <c:v>38197</c:v>
                </c:pt>
                <c:pt idx="19">
                  <c:v>32968</c:v>
                </c:pt>
                <c:pt idx="20">
                  <c:v>34395</c:v>
                </c:pt>
                <c:pt idx="21">
                  <c:v>32327</c:v>
                </c:pt>
                <c:pt idx="22">
                  <c:v>28361</c:v>
                </c:pt>
                <c:pt idx="23">
                  <c:v>33231</c:v>
                </c:pt>
                <c:pt idx="24">
                  <c:v>92254</c:v>
                </c:pt>
                <c:pt idx="25">
                  <c:v>45436</c:v>
                </c:pt>
                <c:pt idx="26">
                  <c:v>38514</c:v>
                </c:pt>
                <c:pt idx="27">
                  <c:v>57333</c:v>
                </c:pt>
                <c:pt idx="28">
                  <c:v>25278</c:v>
                </c:pt>
                <c:pt idx="29">
                  <c:v>42684</c:v>
                </c:pt>
                <c:pt idx="30">
                  <c:v>33891</c:v>
                </c:pt>
                <c:pt idx="31">
                  <c:v>54261</c:v>
                </c:pt>
                <c:pt idx="32">
                  <c:v>40580</c:v>
                </c:pt>
                <c:pt idx="33">
                  <c:v>50664</c:v>
                </c:pt>
                <c:pt idx="34">
                  <c:v>42227</c:v>
                </c:pt>
                <c:pt idx="35">
                  <c:v>16416</c:v>
                </c:pt>
                <c:pt idx="36">
                  <c:v>44981</c:v>
                </c:pt>
                <c:pt idx="37">
                  <c:v>45356</c:v>
                </c:pt>
                <c:pt idx="38">
                  <c:v>50111</c:v>
                </c:pt>
                <c:pt idx="39">
                  <c:v>48663</c:v>
                </c:pt>
                <c:pt idx="40">
                  <c:v>40325</c:v>
                </c:pt>
                <c:pt idx="41">
                  <c:v>45852</c:v>
                </c:pt>
                <c:pt idx="42">
                  <c:v>36204</c:v>
                </c:pt>
                <c:pt idx="43">
                  <c:v>48370</c:v>
                </c:pt>
                <c:pt idx="44">
                  <c:v>41695</c:v>
                </c:pt>
                <c:pt idx="45">
                  <c:v>43638</c:v>
                </c:pt>
                <c:pt idx="46">
                  <c:v>41854</c:v>
                </c:pt>
                <c:pt idx="47">
                  <c:v>36215</c:v>
                </c:pt>
                <c:pt idx="48">
                  <c:v>42501</c:v>
                </c:pt>
                <c:pt idx="49">
                  <c:v>118208</c:v>
                </c:pt>
                <c:pt idx="50">
                  <c:v>54992</c:v>
                </c:pt>
                <c:pt idx="51">
                  <c:v>46475</c:v>
                </c:pt>
                <c:pt idx="52">
                  <c:v>72883</c:v>
                </c:pt>
                <c:pt idx="53">
                  <c:v>31888</c:v>
                </c:pt>
                <c:pt idx="54">
                  <c:v>52136</c:v>
                </c:pt>
                <c:pt idx="55">
                  <c:v>40472</c:v>
                </c:pt>
                <c:pt idx="56">
                  <c:v>67983</c:v>
                </c:pt>
                <c:pt idx="57">
                  <c:v>48368</c:v>
                </c:pt>
                <c:pt idx="58">
                  <c:v>63498</c:v>
                </c:pt>
                <c:pt idx="59">
                  <c:v>51018</c:v>
                </c:pt>
                <c:pt idx="60">
                  <c:v>20619</c:v>
                </c:pt>
                <c:pt idx="61">
                  <c:v>55511</c:v>
                </c:pt>
                <c:pt idx="62">
                  <c:v>55544</c:v>
                </c:pt>
                <c:pt idx="63">
                  <c:v>61166</c:v>
                </c:pt>
                <c:pt idx="64">
                  <c:v>60218</c:v>
                </c:pt>
                <c:pt idx="65">
                  <c:v>47729</c:v>
                </c:pt>
                <c:pt idx="66">
                  <c:v>55934</c:v>
                </c:pt>
                <c:pt idx="67">
                  <c:v>43513</c:v>
                </c:pt>
                <c:pt idx="68">
                  <c:v>60118</c:v>
                </c:pt>
                <c:pt idx="69">
                  <c:v>50109</c:v>
                </c:pt>
                <c:pt idx="70">
                  <c:v>52488</c:v>
                </c:pt>
                <c:pt idx="71">
                  <c:v>50293</c:v>
                </c:pt>
                <c:pt idx="72">
                  <c:v>42850</c:v>
                </c:pt>
                <c:pt idx="73">
                  <c:v>50895</c:v>
                </c:pt>
                <c:pt idx="74">
                  <c:v>141174</c:v>
                </c:pt>
                <c:pt idx="75">
                  <c:v>65503</c:v>
                </c:pt>
                <c:pt idx="76">
                  <c:v>53990</c:v>
                </c:pt>
                <c:pt idx="77">
                  <c:v>89042</c:v>
                </c:pt>
                <c:pt idx="78">
                  <c:v>39843</c:v>
                </c:pt>
                <c:pt idx="79">
                  <c:v>62571</c:v>
                </c:pt>
                <c:pt idx="80">
                  <c:v>47852</c:v>
                </c:pt>
                <c:pt idx="81">
                  <c:v>76062</c:v>
                </c:pt>
                <c:pt idx="82">
                  <c:v>56514</c:v>
                </c:pt>
                <c:pt idx="83">
                  <c:v>76232</c:v>
                </c:pt>
                <c:pt idx="84">
                  <c:v>58461</c:v>
                </c:pt>
                <c:pt idx="85">
                  <c:v>24975</c:v>
                </c:pt>
                <c:pt idx="86">
                  <c:v>67353</c:v>
                </c:pt>
                <c:pt idx="87">
                  <c:v>64700</c:v>
                </c:pt>
                <c:pt idx="88">
                  <c:v>75288</c:v>
                </c:pt>
                <c:pt idx="89">
                  <c:v>72843</c:v>
                </c:pt>
                <c:pt idx="90">
                  <c:v>55917</c:v>
                </c:pt>
                <c:pt idx="91">
                  <c:v>65932</c:v>
                </c:pt>
                <c:pt idx="92">
                  <c:v>50536</c:v>
                </c:pt>
                <c:pt idx="93">
                  <c:v>66547</c:v>
                </c:pt>
                <c:pt idx="94">
                  <c:v>58129</c:v>
                </c:pt>
                <c:pt idx="95">
                  <c:v>58934</c:v>
                </c:pt>
                <c:pt idx="96">
                  <c:v>59626</c:v>
                </c:pt>
                <c:pt idx="97">
                  <c:v>49142</c:v>
                </c:pt>
                <c:pt idx="98">
                  <c:v>59972</c:v>
                </c:pt>
                <c:pt idx="99">
                  <c:v>173677</c:v>
                </c:pt>
                <c:pt idx="100">
                  <c:v>70939</c:v>
                </c:pt>
                <c:pt idx="101">
                  <c:v>57973</c:v>
                </c:pt>
                <c:pt idx="102">
                  <c:v>94804</c:v>
                </c:pt>
                <c:pt idx="103">
                  <c:v>42219</c:v>
                </c:pt>
                <c:pt idx="104">
                  <c:v>66651</c:v>
                </c:pt>
                <c:pt idx="105">
                  <c:v>52379</c:v>
                </c:pt>
                <c:pt idx="106">
                  <c:v>83309</c:v>
                </c:pt>
                <c:pt idx="107">
                  <c:v>61088</c:v>
                </c:pt>
                <c:pt idx="108">
                  <c:v>80274</c:v>
                </c:pt>
                <c:pt idx="109">
                  <c:v>64510</c:v>
                </c:pt>
                <c:pt idx="110">
                  <c:v>27274</c:v>
                </c:pt>
                <c:pt idx="111">
                  <c:v>73092</c:v>
                </c:pt>
                <c:pt idx="112">
                  <c:v>69884</c:v>
                </c:pt>
                <c:pt idx="113">
                  <c:v>82007</c:v>
                </c:pt>
                <c:pt idx="114">
                  <c:v>78813</c:v>
                </c:pt>
                <c:pt idx="115">
                  <c:v>59350</c:v>
                </c:pt>
                <c:pt idx="116">
                  <c:v>71955</c:v>
                </c:pt>
                <c:pt idx="117">
                  <c:v>55776</c:v>
                </c:pt>
                <c:pt idx="118">
                  <c:v>75923</c:v>
                </c:pt>
                <c:pt idx="119">
                  <c:v>63853</c:v>
                </c:pt>
                <c:pt idx="120">
                  <c:v>65411</c:v>
                </c:pt>
                <c:pt idx="121">
                  <c:v>64852</c:v>
                </c:pt>
                <c:pt idx="122">
                  <c:v>54178</c:v>
                </c:pt>
                <c:pt idx="123">
                  <c:v>65815</c:v>
                </c:pt>
                <c:pt idx="124">
                  <c:v>182547</c:v>
                </c:pt>
                <c:pt idx="125">
                  <c:v>81970</c:v>
                </c:pt>
                <c:pt idx="126">
                  <c:v>65481</c:v>
                </c:pt>
                <c:pt idx="127">
                  <c:v>107671</c:v>
                </c:pt>
                <c:pt idx="128">
                  <c:v>47604</c:v>
                </c:pt>
                <c:pt idx="129">
                  <c:v>76107</c:v>
                </c:pt>
                <c:pt idx="130">
                  <c:v>58844</c:v>
                </c:pt>
                <c:pt idx="131">
                  <c:v>93475</c:v>
                </c:pt>
                <c:pt idx="132">
                  <c:v>68561</c:v>
                </c:pt>
                <c:pt idx="133">
                  <c:v>96293</c:v>
                </c:pt>
                <c:pt idx="134">
                  <c:v>73146</c:v>
                </c:pt>
                <c:pt idx="135">
                  <c:v>31390</c:v>
                </c:pt>
                <c:pt idx="136">
                  <c:v>85195</c:v>
                </c:pt>
                <c:pt idx="137">
                  <c:v>81870</c:v>
                </c:pt>
                <c:pt idx="138">
                  <c:v>93001</c:v>
                </c:pt>
                <c:pt idx="139">
                  <c:v>92260</c:v>
                </c:pt>
                <c:pt idx="140">
                  <c:v>67727</c:v>
                </c:pt>
                <c:pt idx="141">
                  <c:v>83307</c:v>
                </c:pt>
                <c:pt idx="142">
                  <c:v>65084</c:v>
                </c:pt>
                <c:pt idx="143">
                  <c:v>88863</c:v>
                </c:pt>
                <c:pt idx="144">
                  <c:v>73624</c:v>
                </c:pt>
                <c:pt idx="145">
                  <c:v>75606</c:v>
                </c:pt>
                <c:pt idx="146">
                  <c:v>76673</c:v>
                </c:pt>
                <c:pt idx="147">
                  <c:v>61612</c:v>
                </c:pt>
                <c:pt idx="148">
                  <c:v>73742</c:v>
                </c:pt>
                <c:pt idx="149">
                  <c:v>211620</c:v>
                </c:pt>
              </c:numCache>
            </c:numRef>
          </c:xVal>
          <c:yVal>
            <c:numRef>
              <c:f>Regression!$I$28:$I$177</c:f>
              <c:numCache>
                <c:formatCode>General</c:formatCode>
                <c:ptCount val="150"/>
                <c:pt idx="0">
                  <c:v>52716.560333884416</c:v>
                </c:pt>
                <c:pt idx="1">
                  <c:v>19347.30015063602</c:v>
                </c:pt>
                <c:pt idx="2">
                  <c:v>267128.31856727233</c:v>
                </c:pt>
                <c:pt idx="3">
                  <c:v>120216.49619064407</c:v>
                </c:pt>
                <c:pt idx="4">
                  <c:v>26421.311867453423</c:v>
                </c:pt>
                <c:pt idx="5">
                  <c:v>33052.477833172088</c:v>
                </c:pt>
                <c:pt idx="6">
                  <c:v>123696.68298925995</c:v>
                </c:pt>
                <c:pt idx="7">
                  <c:v>35637.30610290006</c:v>
                </c:pt>
                <c:pt idx="8">
                  <c:v>133306.26589387452</c:v>
                </c:pt>
                <c:pt idx="9">
                  <c:v>32308.60523477105</c:v>
                </c:pt>
                <c:pt idx="10">
                  <c:v>7198.2384087228202</c:v>
                </c:pt>
                <c:pt idx="11">
                  <c:v>99107.601866418408</c:v>
                </c:pt>
                <c:pt idx="12">
                  <c:v>83099.876397386077</c:v>
                </c:pt>
                <c:pt idx="13">
                  <c:v>138491.77685228869</c:v>
                </c:pt>
                <c:pt idx="14">
                  <c:v>75064.153790189186</c:v>
                </c:pt>
                <c:pt idx="15">
                  <c:v>19396.506987981789</c:v>
                </c:pt>
                <c:pt idx="16">
                  <c:v>29315.943440859177</c:v>
                </c:pt>
                <c:pt idx="17">
                  <c:v>5979.3453775411253</c:v>
                </c:pt>
                <c:pt idx="18">
                  <c:v>124606.11121269771</c:v>
                </c:pt>
                <c:pt idx="19">
                  <c:v>26450.671435837277</c:v>
                </c:pt>
                <c:pt idx="20">
                  <c:v>25813.954829889692</c:v>
                </c:pt>
                <c:pt idx="21">
                  <c:v>37770.869420060648</c:v>
                </c:pt>
                <c:pt idx="22">
                  <c:v>1453.4223952215179</c:v>
                </c:pt>
                <c:pt idx="23">
                  <c:v>20099.323475116638</c:v>
                </c:pt>
                <c:pt idx="24">
                  <c:v>657715.58602267539</c:v>
                </c:pt>
                <c:pt idx="25">
                  <c:v>77864.054316820766</c:v>
                </c:pt>
                <c:pt idx="26">
                  <c:v>39582.75777586631</c:v>
                </c:pt>
                <c:pt idx="27">
                  <c:v>327144.61132819072</c:v>
                </c:pt>
                <c:pt idx="28">
                  <c:v>158441.92725741307</c:v>
                </c:pt>
                <c:pt idx="29">
                  <c:v>48007.523269872458</c:v>
                </c:pt>
                <c:pt idx="30">
                  <c:v>54104.174449188722</c:v>
                </c:pt>
                <c:pt idx="31">
                  <c:v>164846.4040658185</c:v>
                </c:pt>
                <c:pt idx="32">
                  <c:v>57133.138317536424</c:v>
                </c:pt>
                <c:pt idx="33">
                  <c:v>163839.03494770703</c:v>
                </c:pt>
                <c:pt idx="34">
                  <c:v>51402.163088354784</c:v>
                </c:pt>
                <c:pt idx="35">
                  <c:v>16796.727654545379</c:v>
                </c:pt>
                <c:pt idx="36">
                  <c:v>134598.70116534468</c:v>
                </c:pt>
                <c:pt idx="37">
                  <c:v>110071.50812264216</c:v>
                </c:pt>
                <c:pt idx="38">
                  <c:v>179328.76932389996</c:v>
                </c:pt>
                <c:pt idx="39">
                  <c:v>110123.45200499715</c:v>
                </c:pt>
                <c:pt idx="40">
                  <c:v>38719.797804518021</c:v>
                </c:pt>
                <c:pt idx="41">
                  <c:v>51411.132210712072</c:v>
                </c:pt>
                <c:pt idx="42">
                  <c:v>23157.745593993717</c:v>
                </c:pt>
                <c:pt idx="43">
                  <c:v>157687.93060469395</c:v>
                </c:pt>
                <c:pt idx="44">
                  <c:v>46463.541664038617</c:v>
                </c:pt>
                <c:pt idx="45">
                  <c:v>48819.715148095354</c:v>
                </c:pt>
                <c:pt idx="46">
                  <c:v>62182.825710576079</c:v>
                </c:pt>
                <c:pt idx="47">
                  <c:v>17162.0194158054</c:v>
                </c:pt>
                <c:pt idx="48">
                  <c:v>43078.858244535033</c:v>
                </c:pt>
                <c:pt idx="49">
                  <c:v>767865.78388371156</c:v>
                </c:pt>
                <c:pt idx="50">
                  <c:v>103203.37881286492</c:v>
                </c:pt>
                <c:pt idx="51">
                  <c:v>58212.721141832335</c:v>
                </c:pt>
                <c:pt idx="52">
                  <c:v>371224.5402452093</c:v>
                </c:pt>
                <c:pt idx="53">
                  <c:v>180733.88331468593</c:v>
                </c:pt>
                <c:pt idx="54">
                  <c:v>68245.512066293668</c:v>
                </c:pt>
                <c:pt idx="55">
                  <c:v>75299.715992770245</c:v>
                </c:pt>
                <c:pt idx="56">
                  <c:v>196513.78325976402</c:v>
                </c:pt>
                <c:pt idx="57">
                  <c:v>80583.442056270374</c:v>
                </c:pt>
                <c:pt idx="58">
                  <c:v>192047.03104945252</c:v>
                </c:pt>
                <c:pt idx="59">
                  <c:v>71681.686006185584</c:v>
                </c:pt>
                <c:pt idx="60">
                  <c:v>29194.790688526264</c:v>
                </c:pt>
                <c:pt idx="61">
                  <c:v>166353.02042156304</c:v>
                </c:pt>
                <c:pt idx="62">
                  <c:v>136989.47370034998</c:v>
                </c:pt>
                <c:pt idx="63">
                  <c:v>198192.52033275957</c:v>
                </c:pt>
                <c:pt idx="64">
                  <c:v>135299.35325248376</c:v>
                </c:pt>
                <c:pt idx="65">
                  <c:v>56959.10262178423</c:v>
                </c:pt>
                <c:pt idx="66">
                  <c:v>73246.594847365603</c:v>
                </c:pt>
                <c:pt idx="67">
                  <c:v>41335.839602990476</c:v>
                </c:pt>
                <c:pt idx="68">
                  <c:v>185629.19782766327</c:v>
                </c:pt>
                <c:pt idx="69">
                  <c:v>62216.858080066842</c:v>
                </c:pt>
                <c:pt idx="70">
                  <c:v>72167.195179656963</c:v>
                </c:pt>
                <c:pt idx="71">
                  <c:v>84324.71686977132</c:v>
                </c:pt>
                <c:pt idx="72">
                  <c:v>34144.380373878099</c:v>
                </c:pt>
                <c:pt idx="73">
                  <c:v>63318.756629924304</c:v>
                </c:pt>
                <c:pt idx="74">
                  <c:v>848259.6682554303</c:v>
                </c:pt>
                <c:pt idx="75">
                  <c:v>122284.803230551</c:v>
                </c:pt>
                <c:pt idx="76">
                  <c:v>72850.311472821413</c:v>
                </c:pt>
                <c:pt idx="77">
                  <c:v>406140.96100573393</c:v>
                </c:pt>
                <c:pt idx="78">
                  <c:v>193287.38329279743</c:v>
                </c:pt>
                <c:pt idx="79">
                  <c:v>86248.788434669535</c:v>
                </c:pt>
                <c:pt idx="80">
                  <c:v>83674.486827838016</c:v>
                </c:pt>
                <c:pt idx="81">
                  <c:v>206778.4054896296</c:v>
                </c:pt>
                <c:pt idx="82">
                  <c:v>94219.731988501459</c:v>
                </c:pt>
                <c:pt idx="83">
                  <c:v>216265.80271727536</c:v>
                </c:pt>
                <c:pt idx="84">
                  <c:v>90767.214374078583</c:v>
                </c:pt>
                <c:pt idx="85">
                  <c:v>40011.483879860767</c:v>
                </c:pt>
                <c:pt idx="86">
                  <c:v>195839.10232413409</c:v>
                </c:pt>
                <c:pt idx="87">
                  <c:v>157783.44091077102</c:v>
                </c:pt>
                <c:pt idx="88">
                  <c:v>217867.58718939772</c:v>
                </c:pt>
                <c:pt idx="89">
                  <c:v>157394.41443714488</c:v>
                </c:pt>
                <c:pt idx="90">
                  <c:v>74295.565142373904</c:v>
                </c:pt>
                <c:pt idx="91">
                  <c:v>90903.182199482108</c:v>
                </c:pt>
                <c:pt idx="92">
                  <c:v>52269.170296707867</c:v>
                </c:pt>
                <c:pt idx="93">
                  <c:v>206730.673765435</c:v>
                </c:pt>
                <c:pt idx="94">
                  <c:v>76246.260356859973</c:v>
                </c:pt>
                <c:pt idx="95">
                  <c:v>86088.938745205334</c:v>
                </c:pt>
                <c:pt idx="96">
                  <c:v>101991.46948103711</c:v>
                </c:pt>
                <c:pt idx="97">
                  <c:v>45063.143509330766</c:v>
                </c:pt>
                <c:pt idx="98">
                  <c:v>79748.463475729484</c:v>
                </c:pt>
                <c:pt idx="99">
                  <c:v>990025.93802857713</c:v>
                </c:pt>
                <c:pt idx="100">
                  <c:v>127622.4694648119</c:v>
                </c:pt>
                <c:pt idx="101">
                  <c:v>77872.115241716907</c:v>
                </c:pt>
                <c:pt idx="102">
                  <c:v>410828.46379086433</c:v>
                </c:pt>
                <c:pt idx="103">
                  <c:v>179166.06615683547</c:v>
                </c:pt>
                <c:pt idx="104">
                  <c:v>93185.460750228594</c:v>
                </c:pt>
                <c:pt idx="105">
                  <c:v>91241.769072854993</c:v>
                </c:pt>
                <c:pt idx="106">
                  <c:v>216222.38757537754</c:v>
                </c:pt>
                <c:pt idx="107">
                  <c:v>97880.317058992892</c:v>
                </c:pt>
                <c:pt idx="108">
                  <c:v>220129.45948543685</c:v>
                </c:pt>
                <c:pt idx="109">
                  <c:v>104419.98007334179</c:v>
                </c:pt>
                <c:pt idx="110">
                  <c:v>41051.322516090979</c:v>
                </c:pt>
                <c:pt idx="111">
                  <c:v>210434.33775126925</c:v>
                </c:pt>
                <c:pt idx="112">
                  <c:v>166986.59580376913</c:v>
                </c:pt>
                <c:pt idx="113">
                  <c:v>226265.89717385924</c:v>
                </c:pt>
                <c:pt idx="114">
                  <c:v>170731.80220459777</c:v>
                </c:pt>
                <c:pt idx="115">
                  <c:v>83307.940901687136</c:v>
                </c:pt>
                <c:pt idx="116">
                  <c:v>102338.69867127991</c:v>
                </c:pt>
                <c:pt idx="117">
                  <c:v>62027.769855688093</c:v>
                </c:pt>
                <c:pt idx="118">
                  <c:v>221552.44181638921</c:v>
                </c:pt>
                <c:pt idx="119">
                  <c:v>83802.727219231776</c:v>
                </c:pt>
                <c:pt idx="120">
                  <c:v>97620.195581690263</c:v>
                </c:pt>
                <c:pt idx="121">
                  <c:v>107383.66399875031</c:v>
                </c:pt>
                <c:pt idx="122">
                  <c:v>51099.343208096208</c:v>
                </c:pt>
                <c:pt idx="123">
                  <c:v>90820.881824174518</c:v>
                </c:pt>
                <c:pt idx="124">
                  <c:v>1003336.9251424678</c:v>
                </c:pt>
                <c:pt idx="125">
                  <c:v>152502.19667804451</c:v>
                </c:pt>
                <c:pt idx="126">
                  <c:v>104715.801787857</c:v>
                </c:pt>
                <c:pt idx="127">
                  <c:v>536517.7459064445</c:v>
                </c:pt>
                <c:pt idx="128">
                  <c:v>277049.35444732732</c:v>
                </c:pt>
                <c:pt idx="129">
                  <c:v>116836.40183341928</c:v>
                </c:pt>
                <c:pt idx="130">
                  <c:v>120240.8302044312</c:v>
                </c:pt>
                <c:pt idx="131">
                  <c:v>283820.98380710772</c:v>
                </c:pt>
                <c:pt idx="132">
                  <c:v>125277.27960723625</c:v>
                </c:pt>
                <c:pt idx="133">
                  <c:v>264237.67044760898</c:v>
                </c:pt>
                <c:pt idx="134">
                  <c:v>126396.09389588075</c:v>
                </c:pt>
                <c:pt idx="135">
                  <c:v>46758.442072814796</c:v>
                </c:pt>
                <c:pt idx="136">
                  <c:v>253655.40356197426</c:v>
                </c:pt>
                <c:pt idx="137">
                  <c:v>220172.51922738706</c:v>
                </c:pt>
                <c:pt idx="138">
                  <c:v>255635.07763783581</c:v>
                </c:pt>
                <c:pt idx="139">
                  <c:v>218079.8819300817</c:v>
                </c:pt>
                <c:pt idx="140">
                  <c:v>110693.25578258315</c:v>
                </c:pt>
                <c:pt idx="141">
                  <c:v>129681.00804669184</c:v>
                </c:pt>
                <c:pt idx="142">
                  <c:v>87624.751806100699</c:v>
                </c:pt>
                <c:pt idx="143">
                  <c:v>258315.16906467811</c:v>
                </c:pt>
                <c:pt idx="144">
                  <c:v>107160.94835314844</c:v>
                </c:pt>
                <c:pt idx="145">
                  <c:v>125448.43097818442</c:v>
                </c:pt>
                <c:pt idx="146">
                  <c:v>133397.23007491435</c:v>
                </c:pt>
                <c:pt idx="147">
                  <c:v>70391.187195586448</c:v>
                </c:pt>
                <c:pt idx="148">
                  <c:v>119736.90056387305</c:v>
                </c:pt>
                <c:pt idx="149">
                  <c:v>1119912.5130981663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40-4BF5-847A-02C01976E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454832"/>
        <c:axId val="1657455312"/>
      </c:scatterChart>
      <c:valAx>
        <c:axId val="1657454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Independent Var 1 (X1)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7455312"/>
        <c:crosses val="autoZero"/>
        <c:crossBetween val="midCat"/>
      </c:valAx>
      <c:valAx>
        <c:axId val="16574553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Dependent Variable (Y)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745483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Independent Var 2 (X2)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Dependent Variable (Y)</c:v>
          </c:tx>
          <c:spPr>
            <a:ln w="38100">
              <a:noFill/>
            </a:ln>
          </c:spPr>
          <c:xVal>
            <c:numRef>
              <c:f>Regression!$C$2:$C$151</c:f>
              <c:numCache>
                <c:formatCode>0</c:formatCode>
                <c:ptCount val="150"/>
                <c:pt idx="0">
                  <c:v>983</c:v>
                </c:pt>
                <c:pt idx="1">
                  <c:v>612</c:v>
                </c:pt>
                <c:pt idx="2">
                  <c:v>5865</c:v>
                </c:pt>
                <c:pt idx="3">
                  <c:v>3431</c:v>
                </c:pt>
                <c:pt idx="4">
                  <c:v>485</c:v>
                </c:pt>
                <c:pt idx="5">
                  <c:v>1212</c:v>
                </c:pt>
                <c:pt idx="6">
                  <c:v>2293</c:v>
                </c:pt>
                <c:pt idx="7">
                  <c:v>574</c:v>
                </c:pt>
                <c:pt idx="8">
                  <c:v>1705</c:v>
                </c:pt>
                <c:pt idx="9">
                  <c:v>427</c:v>
                </c:pt>
                <c:pt idx="10">
                  <c:v>436</c:v>
                </c:pt>
                <c:pt idx="11">
                  <c:v>1276</c:v>
                </c:pt>
                <c:pt idx="12">
                  <c:v>1666</c:v>
                </c:pt>
                <c:pt idx="13">
                  <c:v>1521</c:v>
                </c:pt>
                <c:pt idx="14">
                  <c:v>1436</c:v>
                </c:pt>
                <c:pt idx="15">
                  <c:v>318</c:v>
                </c:pt>
                <c:pt idx="16">
                  <c:v>542</c:v>
                </c:pt>
                <c:pt idx="17">
                  <c:v>294</c:v>
                </c:pt>
                <c:pt idx="18">
                  <c:v>1028</c:v>
                </c:pt>
                <c:pt idx="19">
                  <c:v>247</c:v>
                </c:pt>
                <c:pt idx="20">
                  <c:v>319</c:v>
                </c:pt>
                <c:pt idx="21">
                  <c:v>474</c:v>
                </c:pt>
                <c:pt idx="22">
                  <c:v>119</c:v>
                </c:pt>
                <c:pt idx="23">
                  <c:v>433</c:v>
                </c:pt>
                <c:pt idx="24">
                  <c:v>8569</c:v>
                </c:pt>
                <c:pt idx="25">
                  <c:v>1218</c:v>
                </c:pt>
                <c:pt idx="26">
                  <c:v>689</c:v>
                </c:pt>
                <c:pt idx="27">
                  <c:v>7053</c:v>
                </c:pt>
                <c:pt idx="28">
                  <c:v>4433</c:v>
                </c:pt>
                <c:pt idx="29">
                  <c:v>590</c:v>
                </c:pt>
                <c:pt idx="30">
                  <c:v>1446</c:v>
                </c:pt>
                <c:pt idx="31">
                  <c:v>2981</c:v>
                </c:pt>
                <c:pt idx="32">
                  <c:v>665</c:v>
                </c:pt>
                <c:pt idx="33">
                  <c:v>1748</c:v>
                </c:pt>
                <c:pt idx="34">
                  <c:v>416</c:v>
                </c:pt>
                <c:pt idx="35">
                  <c:v>234</c:v>
                </c:pt>
                <c:pt idx="36">
                  <c:v>1585</c:v>
                </c:pt>
                <c:pt idx="37">
                  <c:v>1901</c:v>
                </c:pt>
                <c:pt idx="38">
                  <c:v>1814</c:v>
                </c:pt>
                <c:pt idx="39">
                  <c:v>1865</c:v>
                </c:pt>
                <c:pt idx="40">
                  <c:v>383</c:v>
                </c:pt>
                <c:pt idx="41">
                  <c:v>673</c:v>
                </c:pt>
                <c:pt idx="42">
                  <c:v>380</c:v>
                </c:pt>
                <c:pt idx="43">
                  <c:v>1192</c:v>
                </c:pt>
                <c:pt idx="44">
                  <c:v>289</c:v>
                </c:pt>
                <c:pt idx="45">
                  <c:v>468</c:v>
                </c:pt>
                <c:pt idx="46">
                  <c:v>618</c:v>
                </c:pt>
                <c:pt idx="47">
                  <c:v>150</c:v>
                </c:pt>
                <c:pt idx="48">
                  <c:v>625</c:v>
                </c:pt>
                <c:pt idx="49">
                  <c:v>9738</c:v>
                </c:pt>
                <c:pt idx="50">
                  <c:v>1429</c:v>
                </c:pt>
                <c:pt idx="51">
                  <c:v>720</c:v>
                </c:pt>
                <c:pt idx="52">
                  <c:v>7723</c:v>
                </c:pt>
                <c:pt idx="53">
                  <c:v>4845</c:v>
                </c:pt>
                <c:pt idx="54">
                  <c:v>662</c:v>
                </c:pt>
                <c:pt idx="55">
                  <c:v>1659</c:v>
                </c:pt>
                <c:pt idx="56">
                  <c:v>3377</c:v>
                </c:pt>
                <c:pt idx="57">
                  <c:v>871</c:v>
                </c:pt>
                <c:pt idx="58">
                  <c:v>1856</c:v>
                </c:pt>
                <c:pt idx="59">
                  <c:v>522</c:v>
                </c:pt>
                <c:pt idx="60">
                  <c:v>203</c:v>
                </c:pt>
                <c:pt idx="61">
                  <c:v>1896</c:v>
                </c:pt>
                <c:pt idx="62">
                  <c:v>2113</c:v>
                </c:pt>
                <c:pt idx="63">
                  <c:v>1668</c:v>
                </c:pt>
                <c:pt idx="64">
                  <c:v>1906</c:v>
                </c:pt>
                <c:pt idx="65">
                  <c:v>411</c:v>
                </c:pt>
                <c:pt idx="66">
                  <c:v>802</c:v>
                </c:pt>
                <c:pt idx="67">
                  <c:v>453</c:v>
                </c:pt>
                <c:pt idx="68">
                  <c:v>1279</c:v>
                </c:pt>
                <c:pt idx="69">
                  <c:v>270</c:v>
                </c:pt>
                <c:pt idx="70">
                  <c:v>638</c:v>
                </c:pt>
                <c:pt idx="71">
                  <c:v>786</c:v>
                </c:pt>
                <c:pt idx="72">
                  <c:v>200</c:v>
                </c:pt>
                <c:pt idx="73">
                  <c:v>755</c:v>
                </c:pt>
                <c:pt idx="74">
                  <c:v>10248</c:v>
                </c:pt>
                <c:pt idx="75">
                  <c:v>1455</c:v>
                </c:pt>
                <c:pt idx="76">
                  <c:v>694</c:v>
                </c:pt>
                <c:pt idx="77">
                  <c:v>7907</c:v>
                </c:pt>
                <c:pt idx="78">
                  <c:v>4632</c:v>
                </c:pt>
                <c:pt idx="79">
                  <c:v>719</c:v>
                </c:pt>
                <c:pt idx="80">
                  <c:v>1490</c:v>
                </c:pt>
                <c:pt idx="81">
                  <c:v>3081</c:v>
                </c:pt>
                <c:pt idx="82">
                  <c:v>911</c:v>
                </c:pt>
                <c:pt idx="83">
                  <c:v>1948</c:v>
                </c:pt>
                <c:pt idx="84">
                  <c:v>707</c:v>
                </c:pt>
                <c:pt idx="85">
                  <c:v>153</c:v>
                </c:pt>
                <c:pt idx="86">
                  <c:v>2202</c:v>
                </c:pt>
                <c:pt idx="87">
                  <c:v>2153</c:v>
                </c:pt>
                <c:pt idx="88">
                  <c:v>1384</c:v>
                </c:pt>
                <c:pt idx="89">
                  <c:v>2102</c:v>
                </c:pt>
                <c:pt idx="90">
                  <c:v>440</c:v>
                </c:pt>
                <c:pt idx="91">
                  <c:v>883</c:v>
                </c:pt>
                <c:pt idx="92">
                  <c:v>434</c:v>
                </c:pt>
                <c:pt idx="93">
                  <c:v>1415</c:v>
                </c:pt>
                <c:pt idx="94">
                  <c:v>268</c:v>
                </c:pt>
                <c:pt idx="95">
                  <c:v>642</c:v>
                </c:pt>
                <c:pt idx="96">
                  <c:v>864</c:v>
                </c:pt>
                <c:pt idx="97">
                  <c:v>214</c:v>
                </c:pt>
                <c:pt idx="98">
                  <c:v>807</c:v>
                </c:pt>
                <c:pt idx="99">
                  <c:v>12491</c:v>
                </c:pt>
                <c:pt idx="100">
                  <c:v>1378</c:v>
                </c:pt>
                <c:pt idx="101">
                  <c:v>643</c:v>
                </c:pt>
                <c:pt idx="102">
                  <c:v>7592</c:v>
                </c:pt>
                <c:pt idx="103">
                  <c:v>3935</c:v>
                </c:pt>
                <c:pt idx="104">
                  <c:v>681</c:v>
                </c:pt>
                <c:pt idx="105">
                  <c:v>1350</c:v>
                </c:pt>
                <c:pt idx="106">
                  <c:v>2923</c:v>
                </c:pt>
                <c:pt idx="107">
                  <c:v>758</c:v>
                </c:pt>
                <c:pt idx="108">
                  <c:v>1968</c:v>
                </c:pt>
                <c:pt idx="109">
                  <c:v>913</c:v>
                </c:pt>
                <c:pt idx="110">
                  <c:v>130</c:v>
                </c:pt>
                <c:pt idx="111">
                  <c:v>2323</c:v>
                </c:pt>
                <c:pt idx="112">
                  <c:v>2249</c:v>
                </c:pt>
                <c:pt idx="113">
                  <c:v>1360</c:v>
                </c:pt>
                <c:pt idx="114">
                  <c:v>2317</c:v>
                </c:pt>
                <c:pt idx="115">
                  <c:v>469</c:v>
                </c:pt>
                <c:pt idx="116">
                  <c:v>974</c:v>
                </c:pt>
                <c:pt idx="117">
                  <c:v>448</c:v>
                </c:pt>
                <c:pt idx="118">
                  <c:v>1471</c:v>
                </c:pt>
                <c:pt idx="119">
                  <c:v>281</c:v>
                </c:pt>
                <c:pt idx="120">
                  <c:v>663</c:v>
                </c:pt>
                <c:pt idx="121">
                  <c:v>811</c:v>
                </c:pt>
                <c:pt idx="122">
                  <c:v>168</c:v>
                </c:pt>
                <c:pt idx="123">
                  <c:v>891</c:v>
                </c:pt>
                <c:pt idx="124">
                  <c:v>12428</c:v>
                </c:pt>
                <c:pt idx="125">
                  <c:v>1309</c:v>
                </c:pt>
                <c:pt idx="126">
                  <c:v>833</c:v>
                </c:pt>
                <c:pt idx="127">
                  <c:v>12164</c:v>
                </c:pt>
                <c:pt idx="128">
                  <c:v>7038</c:v>
                </c:pt>
                <c:pt idx="129">
                  <c:v>772</c:v>
                </c:pt>
                <c:pt idx="130">
                  <c:v>1685</c:v>
                </c:pt>
                <c:pt idx="131">
                  <c:v>4741</c:v>
                </c:pt>
                <c:pt idx="132">
                  <c:v>1165</c:v>
                </c:pt>
                <c:pt idx="133">
                  <c:v>2551</c:v>
                </c:pt>
                <c:pt idx="134">
                  <c:v>1022</c:v>
                </c:pt>
                <c:pt idx="135">
                  <c:v>168</c:v>
                </c:pt>
                <c:pt idx="136">
                  <c:v>2933</c:v>
                </c:pt>
                <c:pt idx="137">
                  <c:v>3457</c:v>
                </c:pt>
                <c:pt idx="138">
                  <c:v>1698</c:v>
                </c:pt>
                <c:pt idx="139">
                  <c:v>3190</c:v>
                </c:pt>
                <c:pt idx="140">
                  <c:v>704</c:v>
                </c:pt>
                <c:pt idx="141">
                  <c:v>1061</c:v>
                </c:pt>
                <c:pt idx="142">
                  <c:v>679</c:v>
                </c:pt>
                <c:pt idx="143">
                  <c:v>1801</c:v>
                </c:pt>
                <c:pt idx="144">
                  <c:v>413</c:v>
                </c:pt>
                <c:pt idx="145">
                  <c:v>918</c:v>
                </c:pt>
                <c:pt idx="146">
                  <c:v>884</c:v>
                </c:pt>
                <c:pt idx="147">
                  <c:v>207</c:v>
                </c:pt>
                <c:pt idx="148">
                  <c:v>1190</c:v>
                </c:pt>
                <c:pt idx="149">
                  <c:v>15331</c:v>
                </c:pt>
              </c:numCache>
            </c:numRef>
          </c:xVal>
          <c:yVal>
            <c:numRef>
              <c:f>Regression!$A$2:$A$151</c:f>
              <c:numCache>
                <c:formatCode>0</c:formatCode>
                <c:ptCount val="150"/>
                <c:pt idx="0">
                  <c:v>74411</c:v>
                </c:pt>
                <c:pt idx="1">
                  <c:v>35744</c:v>
                </c:pt>
                <c:pt idx="2">
                  <c:v>244478</c:v>
                </c:pt>
                <c:pt idx="3">
                  <c:v>137500</c:v>
                </c:pt>
                <c:pt idx="4">
                  <c:v>47919</c:v>
                </c:pt>
                <c:pt idx="5">
                  <c:v>32390</c:v>
                </c:pt>
                <c:pt idx="6">
                  <c:v>104323</c:v>
                </c:pt>
                <c:pt idx="7">
                  <c:v>51404</c:v>
                </c:pt>
                <c:pt idx="8">
                  <c:v>128638</c:v>
                </c:pt>
                <c:pt idx="9">
                  <c:v>46021</c:v>
                </c:pt>
                <c:pt idx="10">
                  <c:v>31356</c:v>
                </c:pt>
                <c:pt idx="11">
                  <c:v>114842</c:v>
                </c:pt>
                <c:pt idx="12">
                  <c:v>57815</c:v>
                </c:pt>
                <c:pt idx="13">
                  <c:v>119800</c:v>
                </c:pt>
                <c:pt idx="14">
                  <c:v>116272</c:v>
                </c:pt>
                <c:pt idx="15">
                  <c:v>39469</c:v>
                </c:pt>
                <c:pt idx="16">
                  <c:v>46287</c:v>
                </c:pt>
                <c:pt idx="17">
                  <c:v>31072</c:v>
                </c:pt>
                <c:pt idx="18">
                  <c:v>154871</c:v>
                </c:pt>
                <c:pt idx="19">
                  <c:v>38743</c:v>
                </c:pt>
                <c:pt idx="20">
                  <c:v>48859</c:v>
                </c:pt>
                <c:pt idx="21">
                  <c:v>59412</c:v>
                </c:pt>
                <c:pt idx="22">
                  <c:v>21239</c:v>
                </c:pt>
                <c:pt idx="23">
                  <c:v>43362</c:v>
                </c:pt>
                <c:pt idx="24">
                  <c:v>559140</c:v>
                </c:pt>
                <c:pt idx="25">
                  <c:v>92288</c:v>
                </c:pt>
                <c:pt idx="26">
                  <c:v>51919</c:v>
                </c:pt>
                <c:pt idx="27">
                  <c:v>313527</c:v>
                </c:pt>
                <c:pt idx="28">
                  <c:v>165932</c:v>
                </c:pt>
                <c:pt idx="29">
                  <c:v>61424</c:v>
                </c:pt>
                <c:pt idx="30">
                  <c:v>43037</c:v>
                </c:pt>
                <c:pt idx="31">
                  <c:v>130187</c:v>
                </c:pt>
                <c:pt idx="32">
                  <c:v>63809</c:v>
                </c:pt>
                <c:pt idx="33">
                  <c:v>156829</c:v>
                </c:pt>
                <c:pt idx="34">
                  <c:v>52978</c:v>
                </c:pt>
                <c:pt idx="35">
                  <c:v>30265</c:v>
                </c:pt>
                <c:pt idx="36">
                  <c:v>147308</c:v>
                </c:pt>
                <c:pt idx="37">
                  <c:v>69299</c:v>
                </c:pt>
                <c:pt idx="38">
                  <c:v>149392</c:v>
                </c:pt>
                <c:pt idx="39">
                  <c:v>150543</c:v>
                </c:pt>
                <c:pt idx="40">
                  <c:v>48796</c:v>
                </c:pt>
                <c:pt idx="41">
                  <c:v>56473</c:v>
                </c:pt>
                <c:pt idx="42">
                  <c:v>40715</c:v>
                </c:pt>
                <c:pt idx="43">
                  <c:v>187238</c:v>
                </c:pt>
                <c:pt idx="44">
                  <c:v>47819</c:v>
                </c:pt>
                <c:pt idx="45">
                  <c:v>63808</c:v>
                </c:pt>
                <c:pt idx="46">
                  <c:v>73073</c:v>
                </c:pt>
                <c:pt idx="47">
                  <c:v>28579</c:v>
                </c:pt>
                <c:pt idx="48">
                  <c:v>56611</c:v>
                </c:pt>
                <c:pt idx="49">
                  <c:v>699378</c:v>
                </c:pt>
                <c:pt idx="50">
                  <c:v>111489</c:v>
                </c:pt>
                <c:pt idx="51">
                  <c:v>60445</c:v>
                </c:pt>
                <c:pt idx="52">
                  <c:v>369356</c:v>
                </c:pt>
                <c:pt idx="53">
                  <c:v>192161</c:v>
                </c:pt>
                <c:pt idx="54">
                  <c:v>77103</c:v>
                </c:pt>
                <c:pt idx="55">
                  <c:v>52445</c:v>
                </c:pt>
                <c:pt idx="56">
                  <c:v>147043</c:v>
                </c:pt>
                <c:pt idx="57">
                  <c:v>78439</c:v>
                </c:pt>
                <c:pt idx="58">
                  <c:v>198142</c:v>
                </c:pt>
                <c:pt idx="59">
                  <c:v>64417</c:v>
                </c:pt>
                <c:pt idx="60">
                  <c:v>35204</c:v>
                </c:pt>
                <c:pt idx="61">
                  <c:v>177233</c:v>
                </c:pt>
                <c:pt idx="62">
                  <c:v>79903</c:v>
                </c:pt>
                <c:pt idx="63">
                  <c:v>173224</c:v>
                </c:pt>
                <c:pt idx="64">
                  <c:v>174089</c:v>
                </c:pt>
                <c:pt idx="65">
                  <c:v>56835</c:v>
                </c:pt>
                <c:pt idx="66">
                  <c:v>68476</c:v>
                </c:pt>
                <c:pt idx="67">
                  <c:v>49127</c:v>
                </c:pt>
                <c:pt idx="68">
                  <c:v>233279</c:v>
                </c:pt>
                <c:pt idx="69">
                  <c:v>55152</c:v>
                </c:pt>
                <c:pt idx="70">
                  <c:v>75638</c:v>
                </c:pt>
                <c:pt idx="71">
                  <c:v>93287</c:v>
                </c:pt>
                <c:pt idx="72">
                  <c:v>33905</c:v>
                </c:pt>
                <c:pt idx="73">
                  <c:v>70611</c:v>
                </c:pt>
                <c:pt idx="74">
                  <c:v>833299</c:v>
                </c:pt>
                <c:pt idx="75">
                  <c:v>129097</c:v>
                </c:pt>
                <c:pt idx="76">
                  <c:v>75637</c:v>
                </c:pt>
                <c:pt idx="77">
                  <c:v>390325</c:v>
                </c:pt>
                <c:pt idx="78">
                  <c:v>204893</c:v>
                </c:pt>
                <c:pt idx="79">
                  <c:v>85267</c:v>
                </c:pt>
                <c:pt idx="80">
                  <c:v>61325</c:v>
                </c:pt>
                <c:pt idx="81">
                  <c:v>155158</c:v>
                </c:pt>
                <c:pt idx="82">
                  <c:v>86679</c:v>
                </c:pt>
                <c:pt idx="83">
                  <c:v>218647</c:v>
                </c:pt>
                <c:pt idx="84">
                  <c:v>73066</c:v>
                </c:pt>
                <c:pt idx="85">
                  <c:v>40291</c:v>
                </c:pt>
                <c:pt idx="86">
                  <c:v>214400</c:v>
                </c:pt>
                <c:pt idx="87">
                  <c:v>92427</c:v>
                </c:pt>
                <c:pt idx="88">
                  <c:v>197153</c:v>
                </c:pt>
                <c:pt idx="89">
                  <c:v>187289</c:v>
                </c:pt>
                <c:pt idx="90">
                  <c:v>67363</c:v>
                </c:pt>
                <c:pt idx="91">
                  <c:v>75827</c:v>
                </c:pt>
                <c:pt idx="92">
                  <c:v>57140</c:v>
                </c:pt>
                <c:pt idx="93">
                  <c:v>247592</c:v>
                </c:pt>
                <c:pt idx="94">
                  <c:v>61939</c:v>
                </c:pt>
                <c:pt idx="95">
                  <c:v>83006</c:v>
                </c:pt>
                <c:pt idx="96">
                  <c:v>103466</c:v>
                </c:pt>
                <c:pt idx="97">
                  <c:v>41660</c:v>
                </c:pt>
                <c:pt idx="98">
                  <c:v>77981</c:v>
                </c:pt>
                <c:pt idx="99">
                  <c:v>949570</c:v>
                </c:pt>
                <c:pt idx="100">
                  <c:v>135867</c:v>
                </c:pt>
                <c:pt idx="101">
                  <c:v>77404</c:v>
                </c:pt>
                <c:pt idx="102">
                  <c:v>398732</c:v>
                </c:pt>
                <c:pt idx="103">
                  <c:v>206309</c:v>
                </c:pt>
                <c:pt idx="104">
                  <c:v>91365</c:v>
                </c:pt>
                <c:pt idx="105">
                  <c:v>62022</c:v>
                </c:pt>
                <c:pt idx="106">
                  <c:v>167260</c:v>
                </c:pt>
                <c:pt idx="107">
                  <c:v>90398</c:v>
                </c:pt>
                <c:pt idx="108">
                  <c:v>242406</c:v>
                </c:pt>
                <c:pt idx="109">
                  <c:v>75208</c:v>
                </c:pt>
                <c:pt idx="110">
                  <c:v>43204</c:v>
                </c:pt>
                <c:pt idx="111">
                  <c:v>236254</c:v>
                </c:pt>
                <c:pt idx="112">
                  <c:v>96648</c:v>
                </c:pt>
                <c:pt idx="113">
                  <c:v>220242</c:v>
                </c:pt>
                <c:pt idx="114">
                  <c:v>188424</c:v>
                </c:pt>
                <c:pt idx="115">
                  <c:v>71901</c:v>
                </c:pt>
                <c:pt idx="116">
                  <c:v>80432</c:v>
                </c:pt>
                <c:pt idx="117">
                  <c:v>62661</c:v>
                </c:pt>
                <c:pt idx="118">
                  <c:v>257805</c:v>
                </c:pt>
                <c:pt idx="119">
                  <c:v>68467</c:v>
                </c:pt>
                <c:pt idx="120">
                  <c:v>96380</c:v>
                </c:pt>
                <c:pt idx="121">
                  <c:v>108822</c:v>
                </c:pt>
                <c:pt idx="122">
                  <c:v>45054</c:v>
                </c:pt>
                <c:pt idx="123">
                  <c:v>84068</c:v>
                </c:pt>
                <c:pt idx="124">
                  <c:v>1014693</c:v>
                </c:pt>
                <c:pt idx="125">
                  <c:v>173531</c:v>
                </c:pt>
                <c:pt idx="126">
                  <c:v>92535</c:v>
                </c:pt>
                <c:pt idx="127">
                  <c:v>582363</c:v>
                </c:pt>
                <c:pt idx="128">
                  <c:v>283326</c:v>
                </c:pt>
                <c:pt idx="129">
                  <c:v>113919</c:v>
                </c:pt>
                <c:pt idx="130">
                  <c:v>75626</c:v>
                </c:pt>
                <c:pt idx="131">
                  <c:v>228906</c:v>
                </c:pt>
                <c:pt idx="132">
                  <c:v>119680</c:v>
                </c:pt>
                <c:pt idx="133">
                  <c:v>291519</c:v>
                </c:pt>
                <c:pt idx="134">
                  <c:v>99564</c:v>
                </c:pt>
                <c:pt idx="135">
                  <c:v>52135</c:v>
                </c:pt>
                <c:pt idx="136">
                  <c:v>296182</c:v>
                </c:pt>
                <c:pt idx="137">
                  <c:v>124162</c:v>
                </c:pt>
                <c:pt idx="138">
                  <c:v>271669</c:v>
                </c:pt>
                <c:pt idx="139">
                  <c:v>266694</c:v>
                </c:pt>
                <c:pt idx="140">
                  <c:v>88859</c:v>
                </c:pt>
                <c:pt idx="141">
                  <c:v>105254</c:v>
                </c:pt>
                <c:pt idx="142">
                  <c:v>81485</c:v>
                </c:pt>
                <c:pt idx="143">
                  <c:v>319796</c:v>
                </c:pt>
                <c:pt idx="144">
                  <c:v>88182</c:v>
                </c:pt>
                <c:pt idx="145">
                  <c:v>119876</c:v>
                </c:pt>
                <c:pt idx="146">
                  <c:v>131154</c:v>
                </c:pt>
                <c:pt idx="147">
                  <c:v>54582</c:v>
                </c:pt>
                <c:pt idx="148">
                  <c:v>113474</c:v>
                </c:pt>
                <c:pt idx="149">
                  <c:v>1276376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0C-484E-92C0-DACDECBDCDDE}"/>
            </c:ext>
          </c:extLst>
        </c:ser>
        <c:ser>
          <c:idx val="1"/>
          <c:order val="1"/>
          <c:tx>
            <c:v>Predicted Dependent Variable (Y)</c:v>
          </c:tx>
          <c:spPr>
            <a:ln w="38100">
              <a:noFill/>
            </a:ln>
          </c:spPr>
          <c:xVal>
            <c:numRef>
              <c:f>Regression!$C$2:$C$151</c:f>
              <c:numCache>
                <c:formatCode>0</c:formatCode>
                <c:ptCount val="150"/>
                <c:pt idx="0">
                  <c:v>983</c:v>
                </c:pt>
                <c:pt idx="1">
                  <c:v>612</c:v>
                </c:pt>
                <c:pt idx="2">
                  <c:v>5865</c:v>
                </c:pt>
                <c:pt idx="3">
                  <c:v>3431</c:v>
                </c:pt>
                <c:pt idx="4">
                  <c:v>485</c:v>
                </c:pt>
                <c:pt idx="5">
                  <c:v>1212</c:v>
                </c:pt>
                <c:pt idx="6">
                  <c:v>2293</c:v>
                </c:pt>
                <c:pt idx="7">
                  <c:v>574</c:v>
                </c:pt>
                <c:pt idx="8">
                  <c:v>1705</c:v>
                </c:pt>
                <c:pt idx="9">
                  <c:v>427</c:v>
                </c:pt>
                <c:pt idx="10">
                  <c:v>436</c:v>
                </c:pt>
                <c:pt idx="11">
                  <c:v>1276</c:v>
                </c:pt>
                <c:pt idx="12">
                  <c:v>1666</c:v>
                </c:pt>
                <c:pt idx="13">
                  <c:v>1521</c:v>
                </c:pt>
                <c:pt idx="14">
                  <c:v>1436</c:v>
                </c:pt>
                <c:pt idx="15">
                  <c:v>318</c:v>
                </c:pt>
                <c:pt idx="16">
                  <c:v>542</c:v>
                </c:pt>
                <c:pt idx="17">
                  <c:v>294</c:v>
                </c:pt>
                <c:pt idx="18">
                  <c:v>1028</c:v>
                </c:pt>
                <c:pt idx="19">
                  <c:v>247</c:v>
                </c:pt>
                <c:pt idx="20">
                  <c:v>319</c:v>
                </c:pt>
                <c:pt idx="21">
                  <c:v>474</c:v>
                </c:pt>
                <c:pt idx="22">
                  <c:v>119</c:v>
                </c:pt>
                <c:pt idx="23">
                  <c:v>433</c:v>
                </c:pt>
                <c:pt idx="24">
                  <c:v>8569</c:v>
                </c:pt>
                <c:pt idx="25">
                  <c:v>1218</c:v>
                </c:pt>
                <c:pt idx="26">
                  <c:v>689</c:v>
                </c:pt>
                <c:pt idx="27">
                  <c:v>7053</c:v>
                </c:pt>
                <c:pt idx="28">
                  <c:v>4433</c:v>
                </c:pt>
                <c:pt idx="29">
                  <c:v>590</c:v>
                </c:pt>
                <c:pt idx="30">
                  <c:v>1446</c:v>
                </c:pt>
                <c:pt idx="31">
                  <c:v>2981</c:v>
                </c:pt>
                <c:pt idx="32">
                  <c:v>665</c:v>
                </c:pt>
                <c:pt idx="33">
                  <c:v>1748</c:v>
                </c:pt>
                <c:pt idx="34">
                  <c:v>416</c:v>
                </c:pt>
                <c:pt idx="35">
                  <c:v>234</c:v>
                </c:pt>
                <c:pt idx="36">
                  <c:v>1585</c:v>
                </c:pt>
                <c:pt idx="37">
                  <c:v>1901</c:v>
                </c:pt>
                <c:pt idx="38">
                  <c:v>1814</c:v>
                </c:pt>
                <c:pt idx="39">
                  <c:v>1865</c:v>
                </c:pt>
                <c:pt idx="40">
                  <c:v>383</c:v>
                </c:pt>
                <c:pt idx="41">
                  <c:v>673</c:v>
                </c:pt>
                <c:pt idx="42">
                  <c:v>380</c:v>
                </c:pt>
                <c:pt idx="43">
                  <c:v>1192</c:v>
                </c:pt>
                <c:pt idx="44">
                  <c:v>289</c:v>
                </c:pt>
                <c:pt idx="45">
                  <c:v>468</c:v>
                </c:pt>
                <c:pt idx="46">
                  <c:v>618</c:v>
                </c:pt>
                <c:pt idx="47">
                  <c:v>150</c:v>
                </c:pt>
                <c:pt idx="48">
                  <c:v>625</c:v>
                </c:pt>
                <c:pt idx="49">
                  <c:v>9738</c:v>
                </c:pt>
                <c:pt idx="50">
                  <c:v>1429</c:v>
                </c:pt>
                <c:pt idx="51">
                  <c:v>720</c:v>
                </c:pt>
                <c:pt idx="52">
                  <c:v>7723</c:v>
                </c:pt>
                <c:pt idx="53">
                  <c:v>4845</c:v>
                </c:pt>
                <c:pt idx="54">
                  <c:v>662</c:v>
                </c:pt>
                <c:pt idx="55">
                  <c:v>1659</c:v>
                </c:pt>
                <c:pt idx="56">
                  <c:v>3377</c:v>
                </c:pt>
                <c:pt idx="57">
                  <c:v>871</c:v>
                </c:pt>
                <c:pt idx="58">
                  <c:v>1856</c:v>
                </c:pt>
                <c:pt idx="59">
                  <c:v>522</c:v>
                </c:pt>
                <c:pt idx="60">
                  <c:v>203</c:v>
                </c:pt>
                <c:pt idx="61">
                  <c:v>1896</c:v>
                </c:pt>
                <c:pt idx="62">
                  <c:v>2113</c:v>
                </c:pt>
                <c:pt idx="63">
                  <c:v>1668</c:v>
                </c:pt>
                <c:pt idx="64">
                  <c:v>1906</c:v>
                </c:pt>
                <c:pt idx="65">
                  <c:v>411</c:v>
                </c:pt>
                <c:pt idx="66">
                  <c:v>802</c:v>
                </c:pt>
                <c:pt idx="67">
                  <c:v>453</c:v>
                </c:pt>
                <c:pt idx="68">
                  <c:v>1279</c:v>
                </c:pt>
                <c:pt idx="69">
                  <c:v>270</c:v>
                </c:pt>
                <c:pt idx="70">
                  <c:v>638</c:v>
                </c:pt>
                <c:pt idx="71">
                  <c:v>786</c:v>
                </c:pt>
                <c:pt idx="72">
                  <c:v>200</c:v>
                </c:pt>
                <c:pt idx="73">
                  <c:v>755</c:v>
                </c:pt>
                <c:pt idx="74">
                  <c:v>10248</c:v>
                </c:pt>
                <c:pt idx="75">
                  <c:v>1455</c:v>
                </c:pt>
                <c:pt idx="76">
                  <c:v>694</c:v>
                </c:pt>
                <c:pt idx="77">
                  <c:v>7907</c:v>
                </c:pt>
                <c:pt idx="78">
                  <c:v>4632</c:v>
                </c:pt>
                <c:pt idx="79">
                  <c:v>719</c:v>
                </c:pt>
                <c:pt idx="80">
                  <c:v>1490</c:v>
                </c:pt>
                <c:pt idx="81">
                  <c:v>3081</c:v>
                </c:pt>
                <c:pt idx="82">
                  <c:v>911</c:v>
                </c:pt>
                <c:pt idx="83">
                  <c:v>1948</c:v>
                </c:pt>
                <c:pt idx="84">
                  <c:v>707</c:v>
                </c:pt>
                <c:pt idx="85">
                  <c:v>153</c:v>
                </c:pt>
                <c:pt idx="86">
                  <c:v>2202</c:v>
                </c:pt>
                <c:pt idx="87">
                  <c:v>2153</c:v>
                </c:pt>
                <c:pt idx="88">
                  <c:v>1384</c:v>
                </c:pt>
                <c:pt idx="89">
                  <c:v>2102</c:v>
                </c:pt>
                <c:pt idx="90">
                  <c:v>440</c:v>
                </c:pt>
                <c:pt idx="91">
                  <c:v>883</c:v>
                </c:pt>
                <c:pt idx="92">
                  <c:v>434</c:v>
                </c:pt>
                <c:pt idx="93">
                  <c:v>1415</c:v>
                </c:pt>
                <c:pt idx="94">
                  <c:v>268</c:v>
                </c:pt>
                <c:pt idx="95">
                  <c:v>642</c:v>
                </c:pt>
                <c:pt idx="96">
                  <c:v>864</c:v>
                </c:pt>
                <c:pt idx="97">
                  <c:v>214</c:v>
                </c:pt>
                <c:pt idx="98">
                  <c:v>807</c:v>
                </c:pt>
                <c:pt idx="99">
                  <c:v>12491</c:v>
                </c:pt>
                <c:pt idx="100">
                  <c:v>1378</c:v>
                </c:pt>
                <c:pt idx="101">
                  <c:v>643</c:v>
                </c:pt>
                <c:pt idx="102">
                  <c:v>7592</c:v>
                </c:pt>
                <c:pt idx="103">
                  <c:v>3935</c:v>
                </c:pt>
                <c:pt idx="104">
                  <c:v>681</c:v>
                </c:pt>
                <c:pt idx="105">
                  <c:v>1350</c:v>
                </c:pt>
                <c:pt idx="106">
                  <c:v>2923</c:v>
                </c:pt>
                <c:pt idx="107">
                  <c:v>758</c:v>
                </c:pt>
                <c:pt idx="108">
                  <c:v>1968</c:v>
                </c:pt>
                <c:pt idx="109">
                  <c:v>913</c:v>
                </c:pt>
                <c:pt idx="110">
                  <c:v>130</c:v>
                </c:pt>
                <c:pt idx="111">
                  <c:v>2323</c:v>
                </c:pt>
                <c:pt idx="112">
                  <c:v>2249</c:v>
                </c:pt>
                <c:pt idx="113">
                  <c:v>1360</c:v>
                </c:pt>
                <c:pt idx="114">
                  <c:v>2317</c:v>
                </c:pt>
                <c:pt idx="115">
                  <c:v>469</c:v>
                </c:pt>
                <c:pt idx="116">
                  <c:v>974</c:v>
                </c:pt>
                <c:pt idx="117">
                  <c:v>448</c:v>
                </c:pt>
                <c:pt idx="118">
                  <c:v>1471</c:v>
                </c:pt>
                <c:pt idx="119">
                  <c:v>281</c:v>
                </c:pt>
                <c:pt idx="120">
                  <c:v>663</c:v>
                </c:pt>
                <c:pt idx="121">
                  <c:v>811</c:v>
                </c:pt>
                <c:pt idx="122">
                  <c:v>168</c:v>
                </c:pt>
                <c:pt idx="123">
                  <c:v>891</c:v>
                </c:pt>
                <c:pt idx="124">
                  <c:v>12428</c:v>
                </c:pt>
                <c:pt idx="125">
                  <c:v>1309</c:v>
                </c:pt>
                <c:pt idx="126">
                  <c:v>833</c:v>
                </c:pt>
                <c:pt idx="127">
                  <c:v>12164</c:v>
                </c:pt>
                <c:pt idx="128">
                  <c:v>7038</c:v>
                </c:pt>
                <c:pt idx="129">
                  <c:v>772</c:v>
                </c:pt>
                <c:pt idx="130">
                  <c:v>1685</c:v>
                </c:pt>
                <c:pt idx="131">
                  <c:v>4741</c:v>
                </c:pt>
                <c:pt idx="132">
                  <c:v>1165</c:v>
                </c:pt>
                <c:pt idx="133">
                  <c:v>2551</c:v>
                </c:pt>
                <c:pt idx="134">
                  <c:v>1022</c:v>
                </c:pt>
                <c:pt idx="135">
                  <c:v>168</c:v>
                </c:pt>
                <c:pt idx="136">
                  <c:v>2933</c:v>
                </c:pt>
                <c:pt idx="137">
                  <c:v>3457</c:v>
                </c:pt>
                <c:pt idx="138">
                  <c:v>1698</c:v>
                </c:pt>
                <c:pt idx="139">
                  <c:v>3190</c:v>
                </c:pt>
                <c:pt idx="140">
                  <c:v>704</c:v>
                </c:pt>
                <c:pt idx="141">
                  <c:v>1061</c:v>
                </c:pt>
                <c:pt idx="142">
                  <c:v>679</c:v>
                </c:pt>
                <c:pt idx="143">
                  <c:v>1801</c:v>
                </c:pt>
                <c:pt idx="144">
                  <c:v>413</c:v>
                </c:pt>
                <c:pt idx="145">
                  <c:v>918</c:v>
                </c:pt>
                <c:pt idx="146">
                  <c:v>884</c:v>
                </c:pt>
                <c:pt idx="147">
                  <c:v>207</c:v>
                </c:pt>
                <c:pt idx="148">
                  <c:v>1190</c:v>
                </c:pt>
                <c:pt idx="149">
                  <c:v>15331</c:v>
                </c:pt>
              </c:numCache>
            </c:numRef>
          </c:xVal>
          <c:yVal>
            <c:numRef>
              <c:f>Regression!$I$28:$I$177</c:f>
              <c:numCache>
                <c:formatCode>General</c:formatCode>
                <c:ptCount val="150"/>
                <c:pt idx="0">
                  <c:v>52716.560333884416</c:v>
                </c:pt>
                <c:pt idx="1">
                  <c:v>19347.30015063602</c:v>
                </c:pt>
                <c:pt idx="2">
                  <c:v>267128.31856727233</c:v>
                </c:pt>
                <c:pt idx="3">
                  <c:v>120216.49619064407</c:v>
                </c:pt>
                <c:pt idx="4">
                  <c:v>26421.311867453423</c:v>
                </c:pt>
                <c:pt idx="5">
                  <c:v>33052.477833172088</c:v>
                </c:pt>
                <c:pt idx="6">
                  <c:v>123696.68298925995</c:v>
                </c:pt>
                <c:pt idx="7">
                  <c:v>35637.30610290006</c:v>
                </c:pt>
                <c:pt idx="8">
                  <c:v>133306.26589387452</c:v>
                </c:pt>
                <c:pt idx="9">
                  <c:v>32308.60523477105</c:v>
                </c:pt>
                <c:pt idx="10">
                  <c:v>7198.2384087228202</c:v>
                </c:pt>
                <c:pt idx="11">
                  <c:v>99107.601866418408</c:v>
                </c:pt>
                <c:pt idx="12">
                  <c:v>83099.876397386077</c:v>
                </c:pt>
                <c:pt idx="13">
                  <c:v>138491.77685228869</c:v>
                </c:pt>
                <c:pt idx="14">
                  <c:v>75064.153790189186</c:v>
                </c:pt>
                <c:pt idx="15">
                  <c:v>19396.506987981789</c:v>
                </c:pt>
                <c:pt idx="16">
                  <c:v>29315.943440859177</c:v>
                </c:pt>
                <c:pt idx="17">
                  <c:v>5979.3453775411253</c:v>
                </c:pt>
                <c:pt idx="18">
                  <c:v>124606.11121269771</c:v>
                </c:pt>
                <c:pt idx="19">
                  <c:v>26450.671435837277</c:v>
                </c:pt>
                <c:pt idx="20">
                  <c:v>25813.954829889692</c:v>
                </c:pt>
                <c:pt idx="21">
                  <c:v>37770.869420060648</c:v>
                </c:pt>
                <c:pt idx="22">
                  <c:v>1453.4223952215179</c:v>
                </c:pt>
                <c:pt idx="23">
                  <c:v>20099.323475116638</c:v>
                </c:pt>
                <c:pt idx="24">
                  <c:v>657715.58602267539</c:v>
                </c:pt>
                <c:pt idx="25">
                  <c:v>77864.054316820766</c:v>
                </c:pt>
                <c:pt idx="26">
                  <c:v>39582.75777586631</c:v>
                </c:pt>
                <c:pt idx="27">
                  <c:v>327144.61132819072</c:v>
                </c:pt>
                <c:pt idx="28">
                  <c:v>158441.92725741307</c:v>
                </c:pt>
                <c:pt idx="29">
                  <c:v>48007.523269872458</c:v>
                </c:pt>
                <c:pt idx="30">
                  <c:v>54104.174449188722</c:v>
                </c:pt>
                <c:pt idx="31">
                  <c:v>164846.4040658185</c:v>
                </c:pt>
                <c:pt idx="32">
                  <c:v>57133.138317536424</c:v>
                </c:pt>
                <c:pt idx="33">
                  <c:v>163839.03494770703</c:v>
                </c:pt>
                <c:pt idx="34">
                  <c:v>51402.163088354784</c:v>
                </c:pt>
                <c:pt idx="35">
                  <c:v>16796.727654545379</c:v>
                </c:pt>
                <c:pt idx="36">
                  <c:v>134598.70116534468</c:v>
                </c:pt>
                <c:pt idx="37">
                  <c:v>110071.50812264216</c:v>
                </c:pt>
                <c:pt idx="38">
                  <c:v>179328.76932389996</c:v>
                </c:pt>
                <c:pt idx="39">
                  <c:v>110123.45200499715</c:v>
                </c:pt>
                <c:pt idx="40">
                  <c:v>38719.797804518021</c:v>
                </c:pt>
                <c:pt idx="41">
                  <c:v>51411.132210712072</c:v>
                </c:pt>
                <c:pt idx="42">
                  <c:v>23157.745593993717</c:v>
                </c:pt>
                <c:pt idx="43">
                  <c:v>157687.93060469395</c:v>
                </c:pt>
                <c:pt idx="44">
                  <c:v>46463.541664038617</c:v>
                </c:pt>
                <c:pt idx="45">
                  <c:v>48819.715148095354</c:v>
                </c:pt>
                <c:pt idx="46">
                  <c:v>62182.825710576079</c:v>
                </c:pt>
                <c:pt idx="47">
                  <c:v>17162.0194158054</c:v>
                </c:pt>
                <c:pt idx="48">
                  <c:v>43078.858244535033</c:v>
                </c:pt>
                <c:pt idx="49">
                  <c:v>767865.78388371156</c:v>
                </c:pt>
                <c:pt idx="50">
                  <c:v>103203.37881286492</c:v>
                </c:pt>
                <c:pt idx="51">
                  <c:v>58212.721141832335</c:v>
                </c:pt>
                <c:pt idx="52">
                  <c:v>371224.5402452093</c:v>
                </c:pt>
                <c:pt idx="53">
                  <c:v>180733.88331468593</c:v>
                </c:pt>
                <c:pt idx="54">
                  <c:v>68245.512066293668</c:v>
                </c:pt>
                <c:pt idx="55">
                  <c:v>75299.715992770245</c:v>
                </c:pt>
                <c:pt idx="56">
                  <c:v>196513.78325976402</c:v>
                </c:pt>
                <c:pt idx="57">
                  <c:v>80583.442056270374</c:v>
                </c:pt>
                <c:pt idx="58">
                  <c:v>192047.03104945252</c:v>
                </c:pt>
                <c:pt idx="59">
                  <c:v>71681.686006185584</c:v>
                </c:pt>
                <c:pt idx="60">
                  <c:v>29194.790688526264</c:v>
                </c:pt>
                <c:pt idx="61">
                  <c:v>166353.02042156304</c:v>
                </c:pt>
                <c:pt idx="62">
                  <c:v>136989.47370034998</c:v>
                </c:pt>
                <c:pt idx="63">
                  <c:v>198192.52033275957</c:v>
                </c:pt>
                <c:pt idx="64">
                  <c:v>135299.35325248376</c:v>
                </c:pt>
                <c:pt idx="65">
                  <c:v>56959.10262178423</c:v>
                </c:pt>
                <c:pt idx="66">
                  <c:v>73246.594847365603</c:v>
                </c:pt>
                <c:pt idx="67">
                  <c:v>41335.839602990476</c:v>
                </c:pt>
                <c:pt idx="68">
                  <c:v>185629.19782766327</c:v>
                </c:pt>
                <c:pt idx="69">
                  <c:v>62216.858080066842</c:v>
                </c:pt>
                <c:pt idx="70">
                  <c:v>72167.195179656963</c:v>
                </c:pt>
                <c:pt idx="71">
                  <c:v>84324.71686977132</c:v>
                </c:pt>
                <c:pt idx="72">
                  <c:v>34144.380373878099</c:v>
                </c:pt>
                <c:pt idx="73">
                  <c:v>63318.756629924304</c:v>
                </c:pt>
                <c:pt idx="74">
                  <c:v>848259.6682554303</c:v>
                </c:pt>
                <c:pt idx="75">
                  <c:v>122284.803230551</c:v>
                </c:pt>
                <c:pt idx="76">
                  <c:v>72850.311472821413</c:v>
                </c:pt>
                <c:pt idx="77">
                  <c:v>406140.96100573393</c:v>
                </c:pt>
                <c:pt idx="78">
                  <c:v>193287.38329279743</c:v>
                </c:pt>
                <c:pt idx="79">
                  <c:v>86248.788434669535</c:v>
                </c:pt>
                <c:pt idx="80">
                  <c:v>83674.486827838016</c:v>
                </c:pt>
                <c:pt idx="81">
                  <c:v>206778.4054896296</c:v>
                </c:pt>
                <c:pt idx="82">
                  <c:v>94219.731988501459</c:v>
                </c:pt>
                <c:pt idx="83">
                  <c:v>216265.80271727536</c:v>
                </c:pt>
                <c:pt idx="84">
                  <c:v>90767.214374078583</c:v>
                </c:pt>
                <c:pt idx="85">
                  <c:v>40011.483879860767</c:v>
                </c:pt>
                <c:pt idx="86">
                  <c:v>195839.10232413409</c:v>
                </c:pt>
                <c:pt idx="87">
                  <c:v>157783.44091077102</c:v>
                </c:pt>
                <c:pt idx="88">
                  <c:v>217867.58718939772</c:v>
                </c:pt>
                <c:pt idx="89">
                  <c:v>157394.41443714488</c:v>
                </c:pt>
                <c:pt idx="90">
                  <c:v>74295.565142373904</c:v>
                </c:pt>
                <c:pt idx="91">
                  <c:v>90903.182199482108</c:v>
                </c:pt>
                <c:pt idx="92">
                  <c:v>52269.170296707867</c:v>
                </c:pt>
                <c:pt idx="93">
                  <c:v>206730.673765435</c:v>
                </c:pt>
                <c:pt idx="94">
                  <c:v>76246.260356859973</c:v>
                </c:pt>
                <c:pt idx="95">
                  <c:v>86088.938745205334</c:v>
                </c:pt>
                <c:pt idx="96">
                  <c:v>101991.46948103711</c:v>
                </c:pt>
                <c:pt idx="97">
                  <c:v>45063.143509330766</c:v>
                </c:pt>
                <c:pt idx="98">
                  <c:v>79748.463475729484</c:v>
                </c:pt>
                <c:pt idx="99">
                  <c:v>990025.93802857713</c:v>
                </c:pt>
                <c:pt idx="100">
                  <c:v>127622.4694648119</c:v>
                </c:pt>
                <c:pt idx="101">
                  <c:v>77872.115241716907</c:v>
                </c:pt>
                <c:pt idx="102">
                  <c:v>410828.46379086433</c:v>
                </c:pt>
                <c:pt idx="103">
                  <c:v>179166.06615683547</c:v>
                </c:pt>
                <c:pt idx="104">
                  <c:v>93185.460750228594</c:v>
                </c:pt>
                <c:pt idx="105">
                  <c:v>91241.769072854993</c:v>
                </c:pt>
                <c:pt idx="106">
                  <c:v>216222.38757537754</c:v>
                </c:pt>
                <c:pt idx="107">
                  <c:v>97880.317058992892</c:v>
                </c:pt>
                <c:pt idx="108">
                  <c:v>220129.45948543685</c:v>
                </c:pt>
                <c:pt idx="109">
                  <c:v>104419.98007334179</c:v>
                </c:pt>
                <c:pt idx="110">
                  <c:v>41051.322516090979</c:v>
                </c:pt>
                <c:pt idx="111">
                  <c:v>210434.33775126925</c:v>
                </c:pt>
                <c:pt idx="112">
                  <c:v>166986.59580376913</c:v>
                </c:pt>
                <c:pt idx="113">
                  <c:v>226265.89717385924</c:v>
                </c:pt>
                <c:pt idx="114">
                  <c:v>170731.80220459777</c:v>
                </c:pt>
                <c:pt idx="115">
                  <c:v>83307.940901687136</c:v>
                </c:pt>
                <c:pt idx="116">
                  <c:v>102338.69867127991</c:v>
                </c:pt>
                <c:pt idx="117">
                  <c:v>62027.769855688093</c:v>
                </c:pt>
                <c:pt idx="118">
                  <c:v>221552.44181638921</c:v>
                </c:pt>
                <c:pt idx="119">
                  <c:v>83802.727219231776</c:v>
                </c:pt>
                <c:pt idx="120">
                  <c:v>97620.195581690263</c:v>
                </c:pt>
                <c:pt idx="121">
                  <c:v>107383.66399875031</c:v>
                </c:pt>
                <c:pt idx="122">
                  <c:v>51099.343208096208</c:v>
                </c:pt>
                <c:pt idx="123">
                  <c:v>90820.881824174518</c:v>
                </c:pt>
                <c:pt idx="124">
                  <c:v>1003336.9251424678</c:v>
                </c:pt>
                <c:pt idx="125">
                  <c:v>152502.19667804451</c:v>
                </c:pt>
                <c:pt idx="126">
                  <c:v>104715.801787857</c:v>
                </c:pt>
                <c:pt idx="127">
                  <c:v>536517.7459064445</c:v>
                </c:pt>
                <c:pt idx="128">
                  <c:v>277049.35444732732</c:v>
                </c:pt>
                <c:pt idx="129">
                  <c:v>116836.40183341928</c:v>
                </c:pt>
                <c:pt idx="130">
                  <c:v>120240.8302044312</c:v>
                </c:pt>
                <c:pt idx="131">
                  <c:v>283820.98380710772</c:v>
                </c:pt>
                <c:pt idx="132">
                  <c:v>125277.27960723625</c:v>
                </c:pt>
                <c:pt idx="133">
                  <c:v>264237.67044760898</c:v>
                </c:pt>
                <c:pt idx="134">
                  <c:v>126396.09389588075</c:v>
                </c:pt>
                <c:pt idx="135">
                  <c:v>46758.442072814796</c:v>
                </c:pt>
                <c:pt idx="136">
                  <c:v>253655.40356197426</c:v>
                </c:pt>
                <c:pt idx="137">
                  <c:v>220172.51922738706</c:v>
                </c:pt>
                <c:pt idx="138">
                  <c:v>255635.07763783581</c:v>
                </c:pt>
                <c:pt idx="139">
                  <c:v>218079.8819300817</c:v>
                </c:pt>
                <c:pt idx="140">
                  <c:v>110693.25578258315</c:v>
                </c:pt>
                <c:pt idx="141">
                  <c:v>129681.00804669184</c:v>
                </c:pt>
                <c:pt idx="142">
                  <c:v>87624.751806100699</c:v>
                </c:pt>
                <c:pt idx="143">
                  <c:v>258315.16906467811</c:v>
                </c:pt>
                <c:pt idx="144">
                  <c:v>107160.94835314844</c:v>
                </c:pt>
                <c:pt idx="145">
                  <c:v>125448.43097818442</c:v>
                </c:pt>
                <c:pt idx="146">
                  <c:v>133397.23007491435</c:v>
                </c:pt>
                <c:pt idx="147">
                  <c:v>70391.187195586448</c:v>
                </c:pt>
                <c:pt idx="148">
                  <c:v>119736.90056387305</c:v>
                </c:pt>
                <c:pt idx="149">
                  <c:v>1119912.5130981663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0C-484E-92C0-DACDECBDCD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455792"/>
        <c:axId val="1657638352"/>
      </c:scatterChart>
      <c:valAx>
        <c:axId val="1657455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Independent Var 2 (X2)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7638352"/>
        <c:crosses val="autoZero"/>
        <c:crossBetween val="midCat"/>
      </c:valAx>
      <c:valAx>
        <c:axId val="16576383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Dependent Variable (Y)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7455792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Independent Var 3 (X3)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Dependent Variable (Y)</c:v>
          </c:tx>
          <c:spPr>
            <a:ln w="38100">
              <a:noFill/>
            </a:ln>
          </c:spPr>
          <c:xVal>
            <c:numRef>
              <c:f>Regression!$D$2:$D$151</c:f>
              <c:numCache>
                <c:formatCode>0</c:formatCode>
                <c:ptCount val="150"/>
                <c:pt idx="0">
                  <c:v>8645</c:v>
                </c:pt>
                <c:pt idx="1">
                  <c:v>5041</c:v>
                </c:pt>
                <c:pt idx="2">
                  <c:v>25584</c:v>
                </c:pt>
                <c:pt idx="3">
                  <c:v>10483</c:v>
                </c:pt>
                <c:pt idx="4">
                  <c:v>5930</c:v>
                </c:pt>
                <c:pt idx="5">
                  <c:v>5058</c:v>
                </c:pt>
                <c:pt idx="6">
                  <c:v>13474</c:v>
                </c:pt>
                <c:pt idx="7">
                  <c:v>6883</c:v>
                </c:pt>
                <c:pt idx="8">
                  <c:v>17830</c:v>
                </c:pt>
                <c:pt idx="9">
                  <c:v>7205</c:v>
                </c:pt>
                <c:pt idx="10">
                  <c:v>3526</c:v>
                </c:pt>
                <c:pt idx="11">
                  <c:v>15586</c:v>
                </c:pt>
                <c:pt idx="12">
                  <c:v>10051</c:v>
                </c:pt>
                <c:pt idx="13">
                  <c:v>21004</c:v>
                </c:pt>
                <c:pt idx="14">
                  <c:v>8989</c:v>
                </c:pt>
                <c:pt idx="15">
                  <c:v>4697</c:v>
                </c:pt>
                <c:pt idx="16">
                  <c:v>5287</c:v>
                </c:pt>
                <c:pt idx="17">
                  <c:v>4249</c:v>
                </c:pt>
                <c:pt idx="18">
                  <c:v>20435</c:v>
                </c:pt>
                <c:pt idx="19">
                  <c:v>7171</c:v>
                </c:pt>
                <c:pt idx="20">
                  <c:v>6228</c:v>
                </c:pt>
                <c:pt idx="21">
                  <c:v>8050</c:v>
                </c:pt>
                <c:pt idx="22">
                  <c:v>3500</c:v>
                </c:pt>
                <c:pt idx="23">
                  <c:v>5236</c:v>
                </c:pt>
                <c:pt idx="24">
                  <c:v>76227</c:v>
                </c:pt>
                <c:pt idx="25">
                  <c:v>9187</c:v>
                </c:pt>
                <c:pt idx="26">
                  <c:v>5597</c:v>
                </c:pt>
                <c:pt idx="27">
                  <c:v>27892</c:v>
                </c:pt>
                <c:pt idx="28">
                  <c:v>10450</c:v>
                </c:pt>
                <c:pt idx="29">
                  <c:v>6491</c:v>
                </c:pt>
                <c:pt idx="30">
                  <c:v>5788</c:v>
                </c:pt>
                <c:pt idx="31">
                  <c:v>14576</c:v>
                </c:pt>
                <c:pt idx="32">
                  <c:v>7639</c:v>
                </c:pt>
                <c:pt idx="33">
                  <c:v>19339</c:v>
                </c:pt>
                <c:pt idx="34">
                  <c:v>7735</c:v>
                </c:pt>
                <c:pt idx="35">
                  <c:v>3408</c:v>
                </c:pt>
                <c:pt idx="36">
                  <c:v>17933</c:v>
                </c:pt>
                <c:pt idx="37">
                  <c:v>10801</c:v>
                </c:pt>
                <c:pt idx="38">
                  <c:v>24023</c:v>
                </c:pt>
                <c:pt idx="39">
                  <c:v>10188</c:v>
                </c:pt>
                <c:pt idx="40">
                  <c:v>5280</c:v>
                </c:pt>
                <c:pt idx="41">
                  <c:v>5705</c:v>
                </c:pt>
                <c:pt idx="42">
                  <c:v>4710</c:v>
                </c:pt>
                <c:pt idx="43">
                  <c:v>22597</c:v>
                </c:pt>
                <c:pt idx="44">
                  <c:v>8107</c:v>
                </c:pt>
                <c:pt idx="45">
                  <c:v>6954</c:v>
                </c:pt>
                <c:pt idx="46">
                  <c:v>8864</c:v>
                </c:pt>
                <c:pt idx="47">
                  <c:v>3925</c:v>
                </c:pt>
                <c:pt idx="48">
                  <c:v>5904</c:v>
                </c:pt>
                <c:pt idx="49">
                  <c:v>85163</c:v>
                </c:pt>
                <c:pt idx="50">
                  <c:v>9713</c:v>
                </c:pt>
                <c:pt idx="51">
                  <c:v>5917</c:v>
                </c:pt>
                <c:pt idx="52">
                  <c:v>29119</c:v>
                </c:pt>
                <c:pt idx="53">
                  <c:v>9731</c:v>
                </c:pt>
                <c:pt idx="54">
                  <c:v>6913</c:v>
                </c:pt>
                <c:pt idx="55">
                  <c:v>6424</c:v>
                </c:pt>
                <c:pt idx="56">
                  <c:v>14993</c:v>
                </c:pt>
                <c:pt idx="57">
                  <c:v>8302</c:v>
                </c:pt>
                <c:pt idx="58">
                  <c:v>20054</c:v>
                </c:pt>
                <c:pt idx="59">
                  <c:v>8068</c:v>
                </c:pt>
                <c:pt idx="60">
                  <c:v>3449</c:v>
                </c:pt>
                <c:pt idx="61">
                  <c:v>19233</c:v>
                </c:pt>
                <c:pt idx="62">
                  <c:v>11434</c:v>
                </c:pt>
                <c:pt idx="63">
                  <c:v>24704</c:v>
                </c:pt>
                <c:pt idx="64">
                  <c:v>10958</c:v>
                </c:pt>
                <c:pt idx="65">
                  <c:v>5545</c:v>
                </c:pt>
                <c:pt idx="66">
                  <c:v>5949</c:v>
                </c:pt>
                <c:pt idx="67">
                  <c:v>5043</c:v>
                </c:pt>
                <c:pt idx="68">
                  <c:v>23793</c:v>
                </c:pt>
                <c:pt idx="69">
                  <c:v>8218</c:v>
                </c:pt>
                <c:pt idx="70">
                  <c:v>7431</c:v>
                </c:pt>
                <c:pt idx="71">
                  <c:v>9176</c:v>
                </c:pt>
                <c:pt idx="72">
                  <c:v>4096</c:v>
                </c:pt>
                <c:pt idx="73">
                  <c:v>6105</c:v>
                </c:pt>
                <c:pt idx="74">
                  <c:v>91509</c:v>
                </c:pt>
                <c:pt idx="75">
                  <c:v>10295</c:v>
                </c:pt>
                <c:pt idx="76">
                  <c:v>6292</c:v>
                </c:pt>
                <c:pt idx="77">
                  <c:v>31191</c:v>
                </c:pt>
                <c:pt idx="78">
                  <c:v>10299</c:v>
                </c:pt>
                <c:pt idx="79">
                  <c:v>7306</c:v>
                </c:pt>
                <c:pt idx="80">
                  <c:v>6388</c:v>
                </c:pt>
                <c:pt idx="81">
                  <c:v>15652</c:v>
                </c:pt>
                <c:pt idx="82">
                  <c:v>8595</c:v>
                </c:pt>
                <c:pt idx="83">
                  <c:v>21077</c:v>
                </c:pt>
                <c:pt idx="84">
                  <c:v>8755</c:v>
                </c:pt>
                <c:pt idx="85">
                  <c:v>3732</c:v>
                </c:pt>
                <c:pt idx="86">
                  <c:v>20480</c:v>
                </c:pt>
                <c:pt idx="87">
                  <c:v>12278</c:v>
                </c:pt>
                <c:pt idx="88">
                  <c:v>25871</c:v>
                </c:pt>
                <c:pt idx="89">
                  <c:v>11439</c:v>
                </c:pt>
                <c:pt idx="90">
                  <c:v>5956</c:v>
                </c:pt>
                <c:pt idx="91">
                  <c:v>6222</c:v>
                </c:pt>
                <c:pt idx="92">
                  <c:v>5092</c:v>
                </c:pt>
                <c:pt idx="93">
                  <c:v>25051</c:v>
                </c:pt>
                <c:pt idx="94">
                  <c:v>8511</c:v>
                </c:pt>
                <c:pt idx="95">
                  <c:v>7864</c:v>
                </c:pt>
                <c:pt idx="96">
                  <c:v>9709</c:v>
                </c:pt>
                <c:pt idx="97">
                  <c:v>4235</c:v>
                </c:pt>
                <c:pt idx="98">
                  <c:v>6443</c:v>
                </c:pt>
                <c:pt idx="99">
                  <c:v>101864</c:v>
                </c:pt>
                <c:pt idx="100">
                  <c:v>9862</c:v>
                </c:pt>
                <c:pt idx="101">
                  <c:v>6047</c:v>
                </c:pt>
                <c:pt idx="102">
                  <c:v>30827</c:v>
                </c:pt>
                <c:pt idx="103">
                  <c:v>9473</c:v>
                </c:pt>
                <c:pt idx="104">
                  <c:v>7060</c:v>
                </c:pt>
                <c:pt idx="105">
                  <c:v>6655</c:v>
                </c:pt>
                <c:pt idx="106">
                  <c:v>15368</c:v>
                </c:pt>
                <c:pt idx="107">
                  <c:v>8124</c:v>
                </c:pt>
                <c:pt idx="108">
                  <c:v>20320</c:v>
                </c:pt>
                <c:pt idx="109">
                  <c:v>8553</c:v>
                </c:pt>
                <c:pt idx="110">
                  <c:v>3408</c:v>
                </c:pt>
                <c:pt idx="111">
                  <c:v>20911</c:v>
                </c:pt>
                <c:pt idx="112">
                  <c:v>11482</c:v>
                </c:pt>
                <c:pt idx="113">
                  <c:v>25465</c:v>
                </c:pt>
                <c:pt idx="114">
                  <c:v>11104</c:v>
                </c:pt>
                <c:pt idx="115">
                  <c:v>6021</c:v>
                </c:pt>
                <c:pt idx="116">
                  <c:v>6096</c:v>
                </c:pt>
                <c:pt idx="117">
                  <c:v>5135</c:v>
                </c:pt>
                <c:pt idx="118">
                  <c:v>25144</c:v>
                </c:pt>
                <c:pt idx="119">
                  <c:v>8116</c:v>
                </c:pt>
                <c:pt idx="120">
                  <c:v>7654</c:v>
                </c:pt>
                <c:pt idx="121">
                  <c:v>9286</c:v>
                </c:pt>
                <c:pt idx="122">
                  <c:v>4205</c:v>
                </c:pt>
                <c:pt idx="123">
                  <c:v>6254</c:v>
                </c:pt>
                <c:pt idx="124">
                  <c:v>101252</c:v>
                </c:pt>
                <c:pt idx="125">
                  <c:v>10050</c:v>
                </c:pt>
                <c:pt idx="126">
                  <c:v>6280</c:v>
                </c:pt>
                <c:pt idx="127">
                  <c:v>30511</c:v>
                </c:pt>
                <c:pt idx="128">
                  <c:v>9202</c:v>
                </c:pt>
                <c:pt idx="129">
                  <c:v>7028</c:v>
                </c:pt>
                <c:pt idx="130">
                  <c:v>6572</c:v>
                </c:pt>
                <c:pt idx="131">
                  <c:v>15363</c:v>
                </c:pt>
                <c:pt idx="132">
                  <c:v>7793</c:v>
                </c:pt>
                <c:pt idx="133">
                  <c:v>20262</c:v>
                </c:pt>
                <c:pt idx="134">
                  <c:v>8347</c:v>
                </c:pt>
                <c:pt idx="135">
                  <c:v>3356</c:v>
                </c:pt>
                <c:pt idx="136">
                  <c:v>21186</c:v>
                </c:pt>
                <c:pt idx="137">
                  <c:v>11481</c:v>
                </c:pt>
                <c:pt idx="138">
                  <c:v>23962</c:v>
                </c:pt>
                <c:pt idx="139">
                  <c:v>11254</c:v>
                </c:pt>
                <c:pt idx="140">
                  <c:v>6163</c:v>
                </c:pt>
                <c:pt idx="141">
                  <c:v>6132</c:v>
                </c:pt>
                <c:pt idx="142">
                  <c:v>5136</c:v>
                </c:pt>
                <c:pt idx="143">
                  <c:v>25808</c:v>
                </c:pt>
                <c:pt idx="144">
                  <c:v>7811</c:v>
                </c:pt>
                <c:pt idx="145">
                  <c:v>7698</c:v>
                </c:pt>
                <c:pt idx="146">
                  <c:v>9238</c:v>
                </c:pt>
                <c:pt idx="147">
                  <c:v>4090</c:v>
                </c:pt>
                <c:pt idx="148">
                  <c:v>6192</c:v>
                </c:pt>
                <c:pt idx="149">
                  <c:v>99919</c:v>
                </c:pt>
              </c:numCache>
            </c:numRef>
          </c:xVal>
          <c:yVal>
            <c:numRef>
              <c:f>Regression!$A$2:$A$151</c:f>
              <c:numCache>
                <c:formatCode>0</c:formatCode>
                <c:ptCount val="150"/>
                <c:pt idx="0">
                  <c:v>74411</c:v>
                </c:pt>
                <c:pt idx="1">
                  <c:v>35744</c:v>
                </c:pt>
                <c:pt idx="2">
                  <c:v>244478</c:v>
                </c:pt>
                <c:pt idx="3">
                  <c:v>137500</c:v>
                </c:pt>
                <c:pt idx="4">
                  <c:v>47919</c:v>
                </c:pt>
                <c:pt idx="5">
                  <c:v>32390</c:v>
                </c:pt>
                <c:pt idx="6">
                  <c:v>104323</c:v>
                </c:pt>
                <c:pt idx="7">
                  <c:v>51404</c:v>
                </c:pt>
                <c:pt idx="8">
                  <c:v>128638</c:v>
                </c:pt>
                <c:pt idx="9">
                  <c:v>46021</c:v>
                </c:pt>
                <c:pt idx="10">
                  <c:v>31356</c:v>
                </c:pt>
                <c:pt idx="11">
                  <c:v>114842</c:v>
                </c:pt>
                <c:pt idx="12">
                  <c:v>57815</c:v>
                </c:pt>
                <c:pt idx="13">
                  <c:v>119800</c:v>
                </c:pt>
                <c:pt idx="14">
                  <c:v>116272</c:v>
                </c:pt>
                <c:pt idx="15">
                  <c:v>39469</c:v>
                </c:pt>
                <c:pt idx="16">
                  <c:v>46287</c:v>
                </c:pt>
                <c:pt idx="17">
                  <c:v>31072</c:v>
                </c:pt>
                <c:pt idx="18">
                  <c:v>154871</c:v>
                </c:pt>
                <c:pt idx="19">
                  <c:v>38743</c:v>
                </c:pt>
                <c:pt idx="20">
                  <c:v>48859</c:v>
                </c:pt>
                <c:pt idx="21">
                  <c:v>59412</c:v>
                </c:pt>
                <c:pt idx="22">
                  <c:v>21239</c:v>
                </c:pt>
                <c:pt idx="23">
                  <c:v>43362</c:v>
                </c:pt>
                <c:pt idx="24">
                  <c:v>559140</c:v>
                </c:pt>
                <c:pt idx="25">
                  <c:v>92288</c:v>
                </c:pt>
                <c:pt idx="26">
                  <c:v>51919</c:v>
                </c:pt>
                <c:pt idx="27">
                  <c:v>313527</c:v>
                </c:pt>
                <c:pt idx="28">
                  <c:v>165932</c:v>
                </c:pt>
                <c:pt idx="29">
                  <c:v>61424</c:v>
                </c:pt>
                <c:pt idx="30">
                  <c:v>43037</c:v>
                </c:pt>
                <c:pt idx="31">
                  <c:v>130187</c:v>
                </c:pt>
                <c:pt idx="32">
                  <c:v>63809</c:v>
                </c:pt>
                <c:pt idx="33">
                  <c:v>156829</c:v>
                </c:pt>
                <c:pt idx="34">
                  <c:v>52978</c:v>
                </c:pt>
                <c:pt idx="35">
                  <c:v>30265</c:v>
                </c:pt>
                <c:pt idx="36">
                  <c:v>147308</c:v>
                </c:pt>
                <c:pt idx="37">
                  <c:v>69299</c:v>
                </c:pt>
                <c:pt idx="38">
                  <c:v>149392</c:v>
                </c:pt>
                <c:pt idx="39">
                  <c:v>150543</c:v>
                </c:pt>
                <c:pt idx="40">
                  <c:v>48796</c:v>
                </c:pt>
                <c:pt idx="41">
                  <c:v>56473</c:v>
                </c:pt>
                <c:pt idx="42">
                  <c:v>40715</c:v>
                </c:pt>
                <c:pt idx="43">
                  <c:v>187238</c:v>
                </c:pt>
                <c:pt idx="44">
                  <c:v>47819</c:v>
                </c:pt>
                <c:pt idx="45">
                  <c:v>63808</c:v>
                </c:pt>
                <c:pt idx="46">
                  <c:v>73073</c:v>
                </c:pt>
                <c:pt idx="47">
                  <c:v>28579</c:v>
                </c:pt>
                <c:pt idx="48">
                  <c:v>56611</c:v>
                </c:pt>
                <c:pt idx="49">
                  <c:v>699378</c:v>
                </c:pt>
                <c:pt idx="50">
                  <c:v>111489</c:v>
                </c:pt>
                <c:pt idx="51">
                  <c:v>60445</c:v>
                </c:pt>
                <c:pt idx="52">
                  <c:v>369356</c:v>
                </c:pt>
                <c:pt idx="53">
                  <c:v>192161</c:v>
                </c:pt>
                <c:pt idx="54">
                  <c:v>77103</c:v>
                </c:pt>
                <c:pt idx="55">
                  <c:v>52445</c:v>
                </c:pt>
                <c:pt idx="56">
                  <c:v>147043</c:v>
                </c:pt>
                <c:pt idx="57">
                  <c:v>78439</c:v>
                </c:pt>
                <c:pt idx="58">
                  <c:v>198142</c:v>
                </c:pt>
                <c:pt idx="59">
                  <c:v>64417</c:v>
                </c:pt>
                <c:pt idx="60">
                  <c:v>35204</c:v>
                </c:pt>
                <c:pt idx="61">
                  <c:v>177233</c:v>
                </c:pt>
                <c:pt idx="62">
                  <c:v>79903</c:v>
                </c:pt>
                <c:pt idx="63">
                  <c:v>173224</c:v>
                </c:pt>
                <c:pt idx="64">
                  <c:v>174089</c:v>
                </c:pt>
                <c:pt idx="65">
                  <c:v>56835</c:v>
                </c:pt>
                <c:pt idx="66">
                  <c:v>68476</c:v>
                </c:pt>
                <c:pt idx="67">
                  <c:v>49127</c:v>
                </c:pt>
                <c:pt idx="68">
                  <c:v>233279</c:v>
                </c:pt>
                <c:pt idx="69">
                  <c:v>55152</c:v>
                </c:pt>
                <c:pt idx="70">
                  <c:v>75638</c:v>
                </c:pt>
                <c:pt idx="71">
                  <c:v>93287</c:v>
                </c:pt>
                <c:pt idx="72">
                  <c:v>33905</c:v>
                </c:pt>
                <c:pt idx="73">
                  <c:v>70611</c:v>
                </c:pt>
                <c:pt idx="74">
                  <c:v>833299</c:v>
                </c:pt>
                <c:pt idx="75">
                  <c:v>129097</c:v>
                </c:pt>
                <c:pt idx="76">
                  <c:v>75637</c:v>
                </c:pt>
                <c:pt idx="77">
                  <c:v>390325</c:v>
                </c:pt>
                <c:pt idx="78">
                  <c:v>204893</c:v>
                </c:pt>
                <c:pt idx="79">
                  <c:v>85267</c:v>
                </c:pt>
                <c:pt idx="80">
                  <c:v>61325</c:v>
                </c:pt>
                <c:pt idx="81">
                  <c:v>155158</c:v>
                </c:pt>
                <c:pt idx="82">
                  <c:v>86679</c:v>
                </c:pt>
                <c:pt idx="83">
                  <c:v>218647</c:v>
                </c:pt>
                <c:pt idx="84">
                  <c:v>73066</c:v>
                </c:pt>
                <c:pt idx="85">
                  <c:v>40291</c:v>
                </c:pt>
                <c:pt idx="86">
                  <c:v>214400</c:v>
                </c:pt>
                <c:pt idx="87">
                  <c:v>92427</c:v>
                </c:pt>
                <c:pt idx="88">
                  <c:v>197153</c:v>
                </c:pt>
                <c:pt idx="89">
                  <c:v>187289</c:v>
                </c:pt>
                <c:pt idx="90">
                  <c:v>67363</c:v>
                </c:pt>
                <c:pt idx="91">
                  <c:v>75827</c:v>
                </c:pt>
                <c:pt idx="92">
                  <c:v>57140</c:v>
                </c:pt>
                <c:pt idx="93">
                  <c:v>247592</c:v>
                </c:pt>
                <c:pt idx="94">
                  <c:v>61939</c:v>
                </c:pt>
                <c:pt idx="95">
                  <c:v>83006</c:v>
                </c:pt>
                <c:pt idx="96">
                  <c:v>103466</c:v>
                </c:pt>
                <c:pt idx="97">
                  <c:v>41660</c:v>
                </c:pt>
                <c:pt idx="98">
                  <c:v>77981</c:v>
                </c:pt>
                <c:pt idx="99">
                  <c:v>949570</c:v>
                </c:pt>
                <c:pt idx="100">
                  <c:v>135867</c:v>
                </c:pt>
                <c:pt idx="101">
                  <c:v>77404</c:v>
                </c:pt>
                <c:pt idx="102">
                  <c:v>398732</c:v>
                </c:pt>
                <c:pt idx="103">
                  <c:v>206309</c:v>
                </c:pt>
                <c:pt idx="104">
                  <c:v>91365</c:v>
                </c:pt>
                <c:pt idx="105">
                  <c:v>62022</c:v>
                </c:pt>
                <c:pt idx="106">
                  <c:v>167260</c:v>
                </c:pt>
                <c:pt idx="107">
                  <c:v>90398</c:v>
                </c:pt>
                <c:pt idx="108">
                  <c:v>242406</c:v>
                </c:pt>
                <c:pt idx="109">
                  <c:v>75208</c:v>
                </c:pt>
                <c:pt idx="110">
                  <c:v>43204</c:v>
                </c:pt>
                <c:pt idx="111">
                  <c:v>236254</c:v>
                </c:pt>
                <c:pt idx="112">
                  <c:v>96648</c:v>
                </c:pt>
                <c:pt idx="113">
                  <c:v>220242</c:v>
                </c:pt>
                <c:pt idx="114">
                  <c:v>188424</c:v>
                </c:pt>
                <c:pt idx="115">
                  <c:v>71901</c:v>
                </c:pt>
                <c:pt idx="116">
                  <c:v>80432</c:v>
                </c:pt>
                <c:pt idx="117">
                  <c:v>62661</c:v>
                </c:pt>
                <c:pt idx="118">
                  <c:v>257805</c:v>
                </c:pt>
                <c:pt idx="119">
                  <c:v>68467</c:v>
                </c:pt>
                <c:pt idx="120">
                  <c:v>96380</c:v>
                </c:pt>
                <c:pt idx="121">
                  <c:v>108822</c:v>
                </c:pt>
                <c:pt idx="122">
                  <c:v>45054</c:v>
                </c:pt>
                <c:pt idx="123">
                  <c:v>84068</c:v>
                </c:pt>
                <c:pt idx="124">
                  <c:v>1014693</c:v>
                </c:pt>
                <c:pt idx="125">
                  <c:v>173531</c:v>
                </c:pt>
                <c:pt idx="126">
                  <c:v>92535</c:v>
                </c:pt>
                <c:pt idx="127">
                  <c:v>582363</c:v>
                </c:pt>
                <c:pt idx="128">
                  <c:v>283326</c:v>
                </c:pt>
                <c:pt idx="129">
                  <c:v>113919</c:v>
                </c:pt>
                <c:pt idx="130">
                  <c:v>75626</c:v>
                </c:pt>
                <c:pt idx="131">
                  <c:v>228906</c:v>
                </c:pt>
                <c:pt idx="132">
                  <c:v>119680</c:v>
                </c:pt>
                <c:pt idx="133">
                  <c:v>291519</c:v>
                </c:pt>
                <c:pt idx="134">
                  <c:v>99564</c:v>
                </c:pt>
                <c:pt idx="135">
                  <c:v>52135</c:v>
                </c:pt>
                <c:pt idx="136">
                  <c:v>296182</c:v>
                </c:pt>
                <c:pt idx="137">
                  <c:v>124162</c:v>
                </c:pt>
                <c:pt idx="138">
                  <c:v>271669</c:v>
                </c:pt>
                <c:pt idx="139">
                  <c:v>266694</c:v>
                </c:pt>
                <c:pt idx="140">
                  <c:v>88859</c:v>
                </c:pt>
                <c:pt idx="141">
                  <c:v>105254</c:v>
                </c:pt>
                <c:pt idx="142">
                  <c:v>81485</c:v>
                </c:pt>
                <c:pt idx="143">
                  <c:v>319796</c:v>
                </c:pt>
                <c:pt idx="144">
                  <c:v>88182</c:v>
                </c:pt>
                <c:pt idx="145">
                  <c:v>119876</c:v>
                </c:pt>
                <c:pt idx="146">
                  <c:v>131154</c:v>
                </c:pt>
                <c:pt idx="147">
                  <c:v>54582</c:v>
                </c:pt>
                <c:pt idx="148">
                  <c:v>113474</c:v>
                </c:pt>
                <c:pt idx="149">
                  <c:v>1276376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EE-47B1-92B0-BFAF4C4D2EE5}"/>
            </c:ext>
          </c:extLst>
        </c:ser>
        <c:ser>
          <c:idx val="1"/>
          <c:order val="1"/>
          <c:tx>
            <c:v>Predicted Dependent Variable (Y)</c:v>
          </c:tx>
          <c:spPr>
            <a:ln w="38100">
              <a:noFill/>
            </a:ln>
          </c:spPr>
          <c:xVal>
            <c:numRef>
              <c:f>Regression!$D$2:$D$151</c:f>
              <c:numCache>
                <c:formatCode>0</c:formatCode>
                <c:ptCount val="150"/>
                <c:pt idx="0">
                  <c:v>8645</c:v>
                </c:pt>
                <c:pt idx="1">
                  <c:v>5041</c:v>
                </c:pt>
                <c:pt idx="2">
                  <c:v>25584</c:v>
                </c:pt>
                <c:pt idx="3">
                  <c:v>10483</c:v>
                </c:pt>
                <c:pt idx="4">
                  <c:v>5930</c:v>
                </c:pt>
                <c:pt idx="5">
                  <c:v>5058</c:v>
                </c:pt>
                <c:pt idx="6">
                  <c:v>13474</c:v>
                </c:pt>
                <c:pt idx="7">
                  <c:v>6883</c:v>
                </c:pt>
                <c:pt idx="8">
                  <c:v>17830</c:v>
                </c:pt>
                <c:pt idx="9">
                  <c:v>7205</c:v>
                </c:pt>
                <c:pt idx="10">
                  <c:v>3526</c:v>
                </c:pt>
                <c:pt idx="11">
                  <c:v>15586</c:v>
                </c:pt>
                <c:pt idx="12">
                  <c:v>10051</c:v>
                </c:pt>
                <c:pt idx="13">
                  <c:v>21004</c:v>
                </c:pt>
                <c:pt idx="14">
                  <c:v>8989</c:v>
                </c:pt>
                <c:pt idx="15">
                  <c:v>4697</c:v>
                </c:pt>
                <c:pt idx="16">
                  <c:v>5287</c:v>
                </c:pt>
                <c:pt idx="17">
                  <c:v>4249</c:v>
                </c:pt>
                <c:pt idx="18">
                  <c:v>20435</c:v>
                </c:pt>
                <c:pt idx="19">
                  <c:v>7171</c:v>
                </c:pt>
                <c:pt idx="20">
                  <c:v>6228</c:v>
                </c:pt>
                <c:pt idx="21">
                  <c:v>8050</c:v>
                </c:pt>
                <c:pt idx="22">
                  <c:v>3500</c:v>
                </c:pt>
                <c:pt idx="23">
                  <c:v>5236</c:v>
                </c:pt>
                <c:pt idx="24">
                  <c:v>76227</c:v>
                </c:pt>
                <c:pt idx="25">
                  <c:v>9187</c:v>
                </c:pt>
                <c:pt idx="26">
                  <c:v>5597</c:v>
                </c:pt>
                <c:pt idx="27">
                  <c:v>27892</c:v>
                </c:pt>
                <c:pt idx="28">
                  <c:v>10450</c:v>
                </c:pt>
                <c:pt idx="29">
                  <c:v>6491</c:v>
                </c:pt>
                <c:pt idx="30">
                  <c:v>5788</c:v>
                </c:pt>
                <c:pt idx="31">
                  <c:v>14576</c:v>
                </c:pt>
                <c:pt idx="32">
                  <c:v>7639</c:v>
                </c:pt>
                <c:pt idx="33">
                  <c:v>19339</c:v>
                </c:pt>
                <c:pt idx="34">
                  <c:v>7735</c:v>
                </c:pt>
                <c:pt idx="35">
                  <c:v>3408</c:v>
                </c:pt>
                <c:pt idx="36">
                  <c:v>17933</c:v>
                </c:pt>
                <c:pt idx="37">
                  <c:v>10801</c:v>
                </c:pt>
                <c:pt idx="38">
                  <c:v>24023</c:v>
                </c:pt>
                <c:pt idx="39">
                  <c:v>10188</c:v>
                </c:pt>
                <c:pt idx="40">
                  <c:v>5280</c:v>
                </c:pt>
                <c:pt idx="41">
                  <c:v>5705</c:v>
                </c:pt>
                <c:pt idx="42">
                  <c:v>4710</c:v>
                </c:pt>
                <c:pt idx="43">
                  <c:v>22597</c:v>
                </c:pt>
                <c:pt idx="44">
                  <c:v>8107</c:v>
                </c:pt>
                <c:pt idx="45">
                  <c:v>6954</c:v>
                </c:pt>
                <c:pt idx="46">
                  <c:v>8864</c:v>
                </c:pt>
                <c:pt idx="47">
                  <c:v>3925</c:v>
                </c:pt>
                <c:pt idx="48">
                  <c:v>5904</c:v>
                </c:pt>
                <c:pt idx="49">
                  <c:v>85163</c:v>
                </c:pt>
                <c:pt idx="50">
                  <c:v>9713</c:v>
                </c:pt>
                <c:pt idx="51">
                  <c:v>5917</c:v>
                </c:pt>
                <c:pt idx="52">
                  <c:v>29119</c:v>
                </c:pt>
                <c:pt idx="53">
                  <c:v>9731</c:v>
                </c:pt>
                <c:pt idx="54">
                  <c:v>6913</c:v>
                </c:pt>
                <c:pt idx="55">
                  <c:v>6424</c:v>
                </c:pt>
                <c:pt idx="56">
                  <c:v>14993</c:v>
                </c:pt>
                <c:pt idx="57">
                  <c:v>8302</c:v>
                </c:pt>
                <c:pt idx="58">
                  <c:v>20054</c:v>
                </c:pt>
                <c:pt idx="59">
                  <c:v>8068</c:v>
                </c:pt>
                <c:pt idx="60">
                  <c:v>3449</c:v>
                </c:pt>
                <c:pt idx="61">
                  <c:v>19233</c:v>
                </c:pt>
                <c:pt idx="62">
                  <c:v>11434</c:v>
                </c:pt>
                <c:pt idx="63">
                  <c:v>24704</c:v>
                </c:pt>
                <c:pt idx="64">
                  <c:v>10958</c:v>
                </c:pt>
                <c:pt idx="65">
                  <c:v>5545</c:v>
                </c:pt>
                <c:pt idx="66">
                  <c:v>5949</c:v>
                </c:pt>
                <c:pt idx="67">
                  <c:v>5043</c:v>
                </c:pt>
                <c:pt idx="68">
                  <c:v>23793</c:v>
                </c:pt>
                <c:pt idx="69">
                  <c:v>8218</c:v>
                </c:pt>
                <c:pt idx="70">
                  <c:v>7431</c:v>
                </c:pt>
                <c:pt idx="71">
                  <c:v>9176</c:v>
                </c:pt>
                <c:pt idx="72">
                  <c:v>4096</c:v>
                </c:pt>
                <c:pt idx="73">
                  <c:v>6105</c:v>
                </c:pt>
                <c:pt idx="74">
                  <c:v>91509</c:v>
                </c:pt>
                <c:pt idx="75">
                  <c:v>10295</c:v>
                </c:pt>
                <c:pt idx="76">
                  <c:v>6292</c:v>
                </c:pt>
                <c:pt idx="77">
                  <c:v>31191</c:v>
                </c:pt>
                <c:pt idx="78">
                  <c:v>10299</c:v>
                </c:pt>
                <c:pt idx="79">
                  <c:v>7306</c:v>
                </c:pt>
                <c:pt idx="80">
                  <c:v>6388</c:v>
                </c:pt>
                <c:pt idx="81">
                  <c:v>15652</c:v>
                </c:pt>
                <c:pt idx="82">
                  <c:v>8595</c:v>
                </c:pt>
                <c:pt idx="83">
                  <c:v>21077</c:v>
                </c:pt>
                <c:pt idx="84">
                  <c:v>8755</c:v>
                </c:pt>
                <c:pt idx="85">
                  <c:v>3732</c:v>
                </c:pt>
                <c:pt idx="86">
                  <c:v>20480</c:v>
                </c:pt>
                <c:pt idx="87">
                  <c:v>12278</c:v>
                </c:pt>
                <c:pt idx="88">
                  <c:v>25871</c:v>
                </c:pt>
                <c:pt idx="89">
                  <c:v>11439</c:v>
                </c:pt>
                <c:pt idx="90">
                  <c:v>5956</c:v>
                </c:pt>
                <c:pt idx="91">
                  <c:v>6222</c:v>
                </c:pt>
                <c:pt idx="92">
                  <c:v>5092</c:v>
                </c:pt>
                <c:pt idx="93">
                  <c:v>25051</c:v>
                </c:pt>
                <c:pt idx="94">
                  <c:v>8511</c:v>
                </c:pt>
                <c:pt idx="95">
                  <c:v>7864</c:v>
                </c:pt>
                <c:pt idx="96">
                  <c:v>9709</c:v>
                </c:pt>
                <c:pt idx="97">
                  <c:v>4235</c:v>
                </c:pt>
                <c:pt idx="98">
                  <c:v>6443</c:v>
                </c:pt>
                <c:pt idx="99">
                  <c:v>101864</c:v>
                </c:pt>
                <c:pt idx="100">
                  <c:v>9862</c:v>
                </c:pt>
                <c:pt idx="101">
                  <c:v>6047</c:v>
                </c:pt>
                <c:pt idx="102">
                  <c:v>30827</c:v>
                </c:pt>
                <c:pt idx="103">
                  <c:v>9473</c:v>
                </c:pt>
                <c:pt idx="104">
                  <c:v>7060</c:v>
                </c:pt>
                <c:pt idx="105">
                  <c:v>6655</c:v>
                </c:pt>
                <c:pt idx="106">
                  <c:v>15368</c:v>
                </c:pt>
                <c:pt idx="107">
                  <c:v>8124</c:v>
                </c:pt>
                <c:pt idx="108">
                  <c:v>20320</c:v>
                </c:pt>
                <c:pt idx="109">
                  <c:v>8553</c:v>
                </c:pt>
                <c:pt idx="110">
                  <c:v>3408</c:v>
                </c:pt>
                <c:pt idx="111">
                  <c:v>20911</c:v>
                </c:pt>
                <c:pt idx="112">
                  <c:v>11482</c:v>
                </c:pt>
                <c:pt idx="113">
                  <c:v>25465</c:v>
                </c:pt>
                <c:pt idx="114">
                  <c:v>11104</c:v>
                </c:pt>
                <c:pt idx="115">
                  <c:v>6021</c:v>
                </c:pt>
                <c:pt idx="116">
                  <c:v>6096</c:v>
                </c:pt>
                <c:pt idx="117">
                  <c:v>5135</c:v>
                </c:pt>
                <c:pt idx="118">
                  <c:v>25144</c:v>
                </c:pt>
                <c:pt idx="119">
                  <c:v>8116</c:v>
                </c:pt>
                <c:pt idx="120">
                  <c:v>7654</c:v>
                </c:pt>
                <c:pt idx="121">
                  <c:v>9286</c:v>
                </c:pt>
                <c:pt idx="122">
                  <c:v>4205</c:v>
                </c:pt>
                <c:pt idx="123">
                  <c:v>6254</c:v>
                </c:pt>
                <c:pt idx="124">
                  <c:v>101252</c:v>
                </c:pt>
                <c:pt idx="125">
                  <c:v>10050</c:v>
                </c:pt>
                <c:pt idx="126">
                  <c:v>6280</c:v>
                </c:pt>
                <c:pt idx="127">
                  <c:v>30511</c:v>
                </c:pt>
                <c:pt idx="128">
                  <c:v>9202</c:v>
                </c:pt>
                <c:pt idx="129">
                  <c:v>7028</c:v>
                </c:pt>
                <c:pt idx="130">
                  <c:v>6572</c:v>
                </c:pt>
                <c:pt idx="131">
                  <c:v>15363</c:v>
                </c:pt>
                <c:pt idx="132">
                  <c:v>7793</c:v>
                </c:pt>
                <c:pt idx="133">
                  <c:v>20262</c:v>
                </c:pt>
                <c:pt idx="134">
                  <c:v>8347</c:v>
                </c:pt>
                <c:pt idx="135">
                  <c:v>3356</c:v>
                </c:pt>
                <c:pt idx="136">
                  <c:v>21186</c:v>
                </c:pt>
                <c:pt idx="137">
                  <c:v>11481</c:v>
                </c:pt>
                <c:pt idx="138">
                  <c:v>23962</c:v>
                </c:pt>
                <c:pt idx="139">
                  <c:v>11254</c:v>
                </c:pt>
                <c:pt idx="140">
                  <c:v>6163</c:v>
                </c:pt>
                <c:pt idx="141">
                  <c:v>6132</c:v>
                </c:pt>
                <c:pt idx="142">
                  <c:v>5136</c:v>
                </c:pt>
                <c:pt idx="143">
                  <c:v>25808</c:v>
                </c:pt>
                <c:pt idx="144">
                  <c:v>7811</c:v>
                </c:pt>
                <c:pt idx="145">
                  <c:v>7698</c:v>
                </c:pt>
                <c:pt idx="146">
                  <c:v>9238</c:v>
                </c:pt>
                <c:pt idx="147">
                  <c:v>4090</c:v>
                </c:pt>
                <c:pt idx="148">
                  <c:v>6192</c:v>
                </c:pt>
                <c:pt idx="149">
                  <c:v>99919</c:v>
                </c:pt>
              </c:numCache>
            </c:numRef>
          </c:xVal>
          <c:yVal>
            <c:numRef>
              <c:f>Regression!$I$28:$I$177</c:f>
              <c:numCache>
                <c:formatCode>General</c:formatCode>
                <c:ptCount val="150"/>
                <c:pt idx="0">
                  <c:v>52716.560333884416</c:v>
                </c:pt>
                <c:pt idx="1">
                  <c:v>19347.30015063602</c:v>
                </c:pt>
                <c:pt idx="2">
                  <c:v>267128.31856727233</c:v>
                </c:pt>
                <c:pt idx="3">
                  <c:v>120216.49619064407</c:v>
                </c:pt>
                <c:pt idx="4">
                  <c:v>26421.311867453423</c:v>
                </c:pt>
                <c:pt idx="5">
                  <c:v>33052.477833172088</c:v>
                </c:pt>
                <c:pt idx="6">
                  <c:v>123696.68298925995</c:v>
                </c:pt>
                <c:pt idx="7">
                  <c:v>35637.30610290006</c:v>
                </c:pt>
                <c:pt idx="8">
                  <c:v>133306.26589387452</c:v>
                </c:pt>
                <c:pt idx="9">
                  <c:v>32308.60523477105</c:v>
                </c:pt>
                <c:pt idx="10">
                  <c:v>7198.2384087228202</c:v>
                </c:pt>
                <c:pt idx="11">
                  <c:v>99107.601866418408</c:v>
                </c:pt>
                <c:pt idx="12">
                  <c:v>83099.876397386077</c:v>
                </c:pt>
                <c:pt idx="13">
                  <c:v>138491.77685228869</c:v>
                </c:pt>
                <c:pt idx="14">
                  <c:v>75064.153790189186</c:v>
                </c:pt>
                <c:pt idx="15">
                  <c:v>19396.506987981789</c:v>
                </c:pt>
                <c:pt idx="16">
                  <c:v>29315.943440859177</c:v>
                </c:pt>
                <c:pt idx="17">
                  <c:v>5979.3453775411253</c:v>
                </c:pt>
                <c:pt idx="18">
                  <c:v>124606.11121269771</c:v>
                </c:pt>
                <c:pt idx="19">
                  <c:v>26450.671435837277</c:v>
                </c:pt>
                <c:pt idx="20">
                  <c:v>25813.954829889692</c:v>
                </c:pt>
                <c:pt idx="21">
                  <c:v>37770.869420060648</c:v>
                </c:pt>
                <c:pt idx="22">
                  <c:v>1453.4223952215179</c:v>
                </c:pt>
                <c:pt idx="23">
                  <c:v>20099.323475116638</c:v>
                </c:pt>
                <c:pt idx="24">
                  <c:v>657715.58602267539</c:v>
                </c:pt>
                <c:pt idx="25">
                  <c:v>77864.054316820766</c:v>
                </c:pt>
                <c:pt idx="26">
                  <c:v>39582.75777586631</c:v>
                </c:pt>
                <c:pt idx="27">
                  <c:v>327144.61132819072</c:v>
                </c:pt>
                <c:pt idx="28">
                  <c:v>158441.92725741307</c:v>
                </c:pt>
                <c:pt idx="29">
                  <c:v>48007.523269872458</c:v>
                </c:pt>
                <c:pt idx="30">
                  <c:v>54104.174449188722</c:v>
                </c:pt>
                <c:pt idx="31">
                  <c:v>164846.4040658185</c:v>
                </c:pt>
                <c:pt idx="32">
                  <c:v>57133.138317536424</c:v>
                </c:pt>
                <c:pt idx="33">
                  <c:v>163839.03494770703</c:v>
                </c:pt>
                <c:pt idx="34">
                  <c:v>51402.163088354784</c:v>
                </c:pt>
                <c:pt idx="35">
                  <c:v>16796.727654545379</c:v>
                </c:pt>
                <c:pt idx="36">
                  <c:v>134598.70116534468</c:v>
                </c:pt>
                <c:pt idx="37">
                  <c:v>110071.50812264216</c:v>
                </c:pt>
                <c:pt idx="38">
                  <c:v>179328.76932389996</c:v>
                </c:pt>
                <c:pt idx="39">
                  <c:v>110123.45200499715</c:v>
                </c:pt>
                <c:pt idx="40">
                  <c:v>38719.797804518021</c:v>
                </c:pt>
                <c:pt idx="41">
                  <c:v>51411.132210712072</c:v>
                </c:pt>
                <c:pt idx="42">
                  <c:v>23157.745593993717</c:v>
                </c:pt>
                <c:pt idx="43">
                  <c:v>157687.93060469395</c:v>
                </c:pt>
                <c:pt idx="44">
                  <c:v>46463.541664038617</c:v>
                </c:pt>
                <c:pt idx="45">
                  <c:v>48819.715148095354</c:v>
                </c:pt>
                <c:pt idx="46">
                  <c:v>62182.825710576079</c:v>
                </c:pt>
                <c:pt idx="47">
                  <c:v>17162.0194158054</c:v>
                </c:pt>
                <c:pt idx="48">
                  <c:v>43078.858244535033</c:v>
                </c:pt>
                <c:pt idx="49">
                  <c:v>767865.78388371156</c:v>
                </c:pt>
                <c:pt idx="50">
                  <c:v>103203.37881286492</c:v>
                </c:pt>
                <c:pt idx="51">
                  <c:v>58212.721141832335</c:v>
                </c:pt>
                <c:pt idx="52">
                  <c:v>371224.5402452093</c:v>
                </c:pt>
                <c:pt idx="53">
                  <c:v>180733.88331468593</c:v>
                </c:pt>
                <c:pt idx="54">
                  <c:v>68245.512066293668</c:v>
                </c:pt>
                <c:pt idx="55">
                  <c:v>75299.715992770245</c:v>
                </c:pt>
                <c:pt idx="56">
                  <c:v>196513.78325976402</c:v>
                </c:pt>
                <c:pt idx="57">
                  <c:v>80583.442056270374</c:v>
                </c:pt>
                <c:pt idx="58">
                  <c:v>192047.03104945252</c:v>
                </c:pt>
                <c:pt idx="59">
                  <c:v>71681.686006185584</c:v>
                </c:pt>
                <c:pt idx="60">
                  <c:v>29194.790688526264</c:v>
                </c:pt>
                <c:pt idx="61">
                  <c:v>166353.02042156304</c:v>
                </c:pt>
                <c:pt idx="62">
                  <c:v>136989.47370034998</c:v>
                </c:pt>
                <c:pt idx="63">
                  <c:v>198192.52033275957</c:v>
                </c:pt>
                <c:pt idx="64">
                  <c:v>135299.35325248376</c:v>
                </c:pt>
                <c:pt idx="65">
                  <c:v>56959.10262178423</c:v>
                </c:pt>
                <c:pt idx="66">
                  <c:v>73246.594847365603</c:v>
                </c:pt>
                <c:pt idx="67">
                  <c:v>41335.839602990476</c:v>
                </c:pt>
                <c:pt idx="68">
                  <c:v>185629.19782766327</c:v>
                </c:pt>
                <c:pt idx="69">
                  <c:v>62216.858080066842</c:v>
                </c:pt>
                <c:pt idx="70">
                  <c:v>72167.195179656963</c:v>
                </c:pt>
                <c:pt idx="71">
                  <c:v>84324.71686977132</c:v>
                </c:pt>
                <c:pt idx="72">
                  <c:v>34144.380373878099</c:v>
                </c:pt>
                <c:pt idx="73">
                  <c:v>63318.756629924304</c:v>
                </c:pt>
                <c:pt idx="74">
                  <c:v>848259.6682554303</c:v>
                </c:pt>
                <c:pt idx="75">
                  <c:v>122284.803230551</c:v>
                </c:pt>
                <c:pt idx="76">
                  <c:v>72850.311472821413</c:v>
                </c:pt>
                <c:pt idx="77">
                  <c:v>406140.96100573393</c:v>
                </c:pt>
                <c:pt idx="78">
                  <c:v>193287.38329279743</c:v>
                </c:pt>
                <c:pt idx="79">
                  <c:v>86248.788434669535</c:v>
                </c:pt>
                <c:pt idx="80">
                  <c:v>83674.486827838016</c:v>
                </c:pt>
                <c:pt idx="81">
                  <c:v>206778.4054896296</c:v>
                </c:pt>
                <c:pt idx="82">
                  <c:v>94219.731988501459</c:v>
                </c:pt>
                <c:pt idx="83">
                  <c:v>216265.80271727536</c:v>
                </c:pt>
                <c:pt idx="84">
                  <c:v>90767.214374078583</c:v>
                </c:pt>
                <c:pt idx="85">
                  <c:v>40011.483879860767</c:v>
                </c:pt>
                <c:pt idx="86">
                  <c:v>195839.10232413409</c:v>
                </c:pt>
                <c:pt idx="87">
                  <c:v>157783.44091077102</c:v>
                </c:pt>
                <c:pt idx="88">
                  <c:v>217867.58718939772</c:v>
                </c:pt>
                <c:pt idx="89">
                  <c:v>157394.41443714488</c:v>
                </c:pt>
                <c:pt idx="90">
                  <c:v>74295.565142373904</c:v>
                </c:pt>
                <c:pt idx="91">
                  <c:v>90903.182199482108</c:v>
                </c:pt>
                <c:pt idx="92">
                  <c:v>52269.170296707867</c:v>
                </c:pt>
                <c:pt idx="93">
                  <c:v>206730.673765435</c:v>
                </c:pt>
                <c:pt idx="94">
                  <c:v>76246.260356859973</c:v>
                </c:pt>
                <c:pt idx="95">
                  <c:v>86088.938745205334</c:v>
                </c:pt>
                <c:pt idx="96">
                  <c:v>101991.46948103711</c:v>
                </c:pt>
                <c:pt idx="97">
                  <c:v>45063.143509330766</c:v>
                </c:pt>
                <c:pt idx="98">
                  <c:v>79748.463475729484</c:v>
                </c:pt>
                <c:pt idx="99">
                  <c:v>990025.93802857713</c:v>
                </c:pt>
                <c:pt idx="100">
                  <c:v>127622.4694648119</c:v>
                </c:pt>
                <c:pt idx="101">
                  <c:v>77872.115241716907</c:v>
                </c:pt>
                <c:pt idx="102">
                  <c:v>410828.46379086433</c:v>
                </c:pt>
                <c:pt idx="103">
                  <c:v>179166.06615683547</c:v>
                </c:pt>
                <c:pt idx="104">
                  <c:v>93185.460750228594</c:v>
                </c:pt>
                <c:pt idx="105">
                  <c:v>91241.769072854993</c:v>
                </c:pt>
                <c:pt idx="106">
                  <c:v>216222.38757537754</c:v>
                </c:pt>
                <c:pt idx="107">
                  <c:v>97880.317058992892</c:v>
                </c:pt>
                <c:pt idx="108">
                  <c:v>220129.45948543685</c:v>
                </c:pt>
                <c:pt idx="109">
                  <c:v>104419.98007334179</c:v>
                </c:pt>
                <c:pt idx="110">
                  <c:v>41051.322516090979</c:v>
                </c:pt>
                <c:pt idx="111">
                  <c:v>210434.33775126925</c:v>
                </c:pt>
                <c:pt idx="112">
                  <c:v>166986.59580376913</c:v>
                </c:pt>
                <c:pt idx="113">
                  <c:v>226265.89717385924</c:v>
                </c:pt>
                <c:pt idx="114">
                  <c:v>170731.80220459777</c:v>
                </c:pt>
                <c:pt idx="115">
                  <c:v>83307.940901687136</c:v>
                </c:pt>
                <c:pt idx="116">
                  <c:v>102338.69867127991</c:v>
                </c:pt>
                <c:pt idx="117">
                  <c:v>62027.769855688093</c:v>
                </c:pt>
                <c:pt idx="118">
                  <c:v>221552.44181638921</c:v>
                </c:pt>
                <c:pt idx="119">
                  <c:v>83802.727219231776</c:v>
                </c:pt>
                <c:pt idx="120">
                  <c:v>97620.195581690263</c:v>
                </c:pt>
                <c:pt idx="121">
                  <c:v>107383.66399875031</c:v>
                </c:pt>
                <c:pt idx="122">
                  <c:v>51099.343208096208</c:v>
                </c:pt>
                <c:pt idx="123">
                  <c:v>90820.881824174518</c:v>
                </c:pt>
                <c:pt idx="124">
                  <c:v>1003336.9251424678</c:v>
                </c:pt>
                <c:pt idx="125">
                  <c:v>152502.19667804451</c:v>
                </c:pt>
                <c:pt idx="126">
                  <c:v>104715.801787857</c:v>
                </c:pt>
                <c:pt idx="127">
                  <c:v>536517.7459064445</c:v>
                </c:pt>
                <c:pt idx="128">
                  <c:v>277049.35444732732</c:v>
                </c:pt>
                <c:pt idx="129">
                  <c:v>116836.40183341928</c:v>
                </c:pt>
                <c:pt idx="130">
                  <c:v>120240.8302044312</c:v>
                </c:pt>
                <c:pt idx="131">
                  <c:v>283820.98380710772</c:v>
                </c:pt>
                <c:pt idx="132">
                  <c:v>125277.27960723625</c:v>
                </c:pt>
                <c:pt idx="133">
                  <c:v>264237.67044760898</c:v>
                </c:pt>
                <c:pt idx="134">
                  <c:v>126396.09389588075</c:v>
                </c:pt>
                <c:pt idx="135">
                  <c:v>46758.442072814796</c:v>
                </c:pt>
                <c:pt idx="136">
                  <c:v>253655.40356197426</c:v>
                </c:pt>
                <c:pt idx="137">
                  <c:v>220172.51922738706</c:v>
                </c:pt>
                <c:pt idx="138">
                  <c:v>255635.07763783581</c:v>
                </c:pt>
                <c:pt idx="139">
                  <c:v>218079.8819300817</c:v>
                </c:pt>
                <c:pt idx="140">
                  <c:v>110693.25578258315</c:v>
                </c:pt>
                <c:pt idx="141">
                  <c:v>129681.00804669184</c:v>
                </c:pt>
                <c:pt idx="142">
                  <c:v>87624.751806100699</c:v>
                </c:pt>
                <c:pt idx="143">
                  <c:v>258315.16906467811</c:v>
                </c:pt>
                <c:pt idx="144">
                  <c:v>107160.94835314844</c:v>
                </c:pt>
                <c:pt idx="145">
                  <c:v>125448.43097818442</c:v>
                </c:pt>
                <c:pt idx="146">
                  <c:v>133397.23007491435</c:v>
                </c:pt>
                <c:pt idx="147">
                  <c:v>70391.187195586448</c:v>
                </c:pt>
                <c:pt idx="148">
                  <c:v>119736.90056387305</c:v>
                </c:pt>
                <c:pt idx="149">
                  <c:v>1119912.5130981663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EE-47B1-92B0-BFAF4C4D2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549664"/>
        <c:axId val="1657203280"/>
      </c:scatterChart>
      <c:valAx>
        <c:axId val="1656549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Independent Var 3 (X3)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7203280"/>
        <c:crosses val="autoZero"/>
        <c:crossBetween val="midCat"/>
      </c:valAx>
      <c:valAx>
        <c:axId val="16572032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Dependent Variable (Y)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654966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Independent Var 4 (X4)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Dependent Variable (Y)</c:v>
          </c:tx>
          <c:spPr>
            <a:ln w="38100">
              <a:noFill/>
            </a:ln>
          </c:spPr>
          <c:xVal>
            <c:numRef>
              <c:f>Regression!$E$2:$E$151</c:f>
              <c:numCache>
                <c:formatCode>0</c:formatCode>
                <c:ptCount val="150"/>
                <c:pt idx="0">
                  <c:v>1782</c:v>
                </c:pt>
                <c:pt idx="1">
                  <c:v>1692</c:v>
                </c:pt>
                <c:pt idx="2">
                  <c:v>2369</c:v>
                </c:pt>
                <c:pt idx="3">
                  <c:v>2549</c:v>
                </c:pt>
                <c:pt idx="4">
                  <c:v>1785</c:v>
                </c:pt>
                <c:pt idx="5">
                  <c:v>1846</c:v>
                </c:pt>
                <c:pt idx="6">
                  <c:v>2187</c:v>
                </c:pt>
                <c:pt idx="7">
                  <c:v>1927</c:v>
                </c:pt>
                <c:pt idx="8">
                  <c:v>2295</c:v>
                </c:pt>
                <c:pt idx="9">
                  <c:v>1815</c:v>
                </c:pt>
                <c:pt idx="10">
                  <c:v>2271</c:v>
                </c:pt>
                <c:pt idx="11">
                  <c:v>1941</c:v>
                </c:pt>
                <c:pt idx="12">
                  <c:v>2122</c:v>
                </c:pt>
                <c:pt idx="13">
                  <c:v>2046</c:v>
                </c:pt>
                <c:pt idx="14">
                  <c:v>2102</c:v>
                </c:pt>
                <c:pt idx="15">
                  <c:v>1960</c:v>
                </c:pt>
                <c:pt idx="16">
                  <c:v>1866</c:v>
                </c:pt>
                <c:pt idx="17">
                  <c:v>1659</c:v>
                </c:pt>
                <c:pt idx="18">
                  <c:v>2060</c:v>
                </c:pt>
                <c:pt idx="19">
                  <c:v>1733</c:v>
                </c:pt>
                <c:pt idx="20">
                  <c:v>1786</c:v>
                </c:pt>
                <c:pt idx="21">
                  <c:v>1835</c:v>
                </c:pt>
                <c:pt idx="22">
                  <c:v>1772</c:v>
                </c:pt>
                <c:pt idx="23">
                  <c:v>1711</c:v>
                </c:pt>
                <c:pt idx="24">
                  <c:v>3431</c:v>
                </c:pt>
                <c:pt idx="25">
                  <c:v>2074</c:v>
                </c:pt>
                <c:pt idx="26">
                  <c:v>1994</c:v>
                </c:pt>
                <c:pt idx="27">
                  <c:v>2790</c:v>
                </c:pt>
                <c:pt idx="28">
                  <c:v>3063</c:v>
                </c:pt>
                <c:pt idx="29">
                  <c:v>2071</c:v>
                </c:pt>
                <c:pt idx="30">
                  <c:v>2069</c:v>
                </c:pt>
                <c:pt idx="31">
                  <c:v>2607</c:v>
                </c:pt>
                <c:pt idx="32">
                  <c:v>2213</c:v>
                </c:pt>
                <c:pt idx="33">
                  <c:v>2761</c:v>
                </c:pt>
                <c:pt idx="34">
                  <c:v>2114</c:v>
                </c:pt>
                <c:pt idx="35">
                  <c:v>2742</c:v>
                </c:pt>
                <c:pt idx="36">
                  <c:v>2244</c:v>
                </c:pt>
                <c:pt idx="37">
                  <c:v>2448</c:v>
                </c:pt>
                <c:pt idx="38">
                  <c:v>2387</c:v>
                </c:pt>
                <c:pt idx="39">
                  <c:v>2481</c:v>
                </c:pt>
                <c:pt idx="40">
                  <c:v>2211</c:v>
                </c:pt>
                <c:pt idx="41">
                  <c:v>2177</c:v>
                </c:pt>
                <c:pt idx="42">
                  <c:v>1871</c:v>
                </c:pt>
                <c:pt idx="43">
                  <c:v>2407</c:v>
                </c:pt>
                <c:pt idx="44">
                  <c:v>1970</c:v>
                </c:pt>
                <c:pt idx="45">
                  <c:v>2075</c:v>
                </c:pt>
                <c:pt idx="46">
                  <c:v>2155</c:v>
                </c:pt>
                <c:pt idx="47">
                  <c:v>1985</c:v>
                </c:pt>
                <c:pt idx="48">
                  <c:v>1974</c:v>
                </c:pt>
                <c:pt idx="49">
                  <c:v>4012</c:v>
                </c:pt>
                <c:pt idx="50">
                  <c:v>2432</c:v>
                </c:pt>
                <c:pt idx="51">
                  <c:v>2339</c:v>
                </c:pt>
                <c:pt idx="52">
                  <c:v>3138</c:v>
                </c:pt>
                <c:pt idx="53">
                  <c:v>3496</c:v>
                </c:pt>
                <c:pt idx="54">
                  <c:v>2369</c:v>
                </c:pt>
                <c:pt idx="55">
                  <c:v>2351</c:v>
                </c:pt>
                <c:pt idx="56">
                  <c:v>2927</c:v>
                </c:pt>
                <c:pt idx="57">
                  <c:v>2539</c:v>
                </c:pt>
                <c:pt idx="58">
                  <c:v>3157</c:v>
                </c:pt>
                <c:pt idx="59">
                  <c:v>2428</c:v>
                </c:pt>
                <c:pt idx="60">
                  <c:v>3090</c:v>
                </c:pt>
                <c:pt idx="61">
                  <c:v>2578</c:v>
                </c:pt>
                <c:pt idx="62">
                  <c:v>2822</c:v>
                </c:pt>
                <c:pt idx="63">
                  <c:v>2700</c:v>
                </c:pt>
                <c:pt idx="64">
                  <c:v>2850</c:v>
                </c:pt>
                <c:pt idx="65">
                  <c:v>2575</c:v>
                </c:pt>
                <c:pt idx="66">
                  <c:v>2503</c:v>
                </c:pt>
                <c:pt idx="67">
                  <c:v>2185</c:v>
                </c:pt>
                <c:pt idx="68">
                  <c:v>2753</c:v>
                </c:pt>
                <c:pt idx="69">
                  <c:v>2269</c:v>
                </c:pt>
                <c:pt idx="70">
                  <c:v>2425</c:v>
                </c:pt>
                <c:pt idx="71">
                  <c:v>2508</c:v>
                </c:pt>
                <c:pt idx="72">
                  <c:v>2329</c:v>
                </c:pt>
                <c:pt idx="73">
                  <c:v>2308</c:v>
                </c:pt>
                <c:pt idx="74">
                  <c:v>4607</c:v>
                </c:pt>
                <c:pt idx="75">
                  <c:v>2651</c:v>
                </c:pt>
                <c:pt idx="76">
                  <c:v>2580</c:v>
                </c:pt>
                <c:pt idx="77">
                  <c:v>3336</c:v>
                </c:pt>
                <c:pt idx="78">
                  <c:v>3755</c:v>
                </c:pt>
                <c:pt idx="79">
                  <c:v>2561</c:v>
                </c:pt>
                <c:pt idx="80">
                  <c:v>2553</c:v>
                </c:pt>
                <c:pt idx="81">
                  <c:v>3142</c:v>
                </c:pt>
                <c:pt idx="82">
                  <c:v>2679</c:v>
                </c:pt>
                <c:pt idx="83">
                  <c:v>3351</c:v>
                </c:pt>
                <c:pt idx="84">
                  <c:v>2608</c:v>
                </c:pt>
                <c:pt idx="85">
                  <c:v>3337</c:v>
                </c:pt>
                <c:pt idx="86">
                  <c:v>2789</c:v>
                </c:pt>
                <c:pt idx="87">
                  <c:v>3094</c:v>
                </c:pt>
                <c:pt idx="88">
                  <c:v>2947</c:v>
                </c:pt>
                <c:pt idx="89">
                  <c:v>2988</c:v>
                </c:pt>
                <c:pt idx="90">
                  <c:v>2844</c:v>
                </c:pt>
                <c:pt idx="91">
                  <c:v>2702</c:v>
                </c:pt>
                <c:pt idx="92">
                  <c:v>2359</c:v>
                </c:pt>
                <c:pt idx="93">
                  <c:v>2975</c:v>
                </c:pt>
                <c:pt idx="94">
                  <c:v>2464</c:v>
                </c:pt>
                <c:pt idx="95">
                  <c:v>2641</c:v>
                </c:pt>
                <c:pt idx="96">
                  <c:v>2682</c:v>
                </c:pt>
                <c:pt idx="97">
                  <c:v>2484</c:v>
                </c:pt>
                <c:pt idx="98">
                  <c:v>2504</c:v>
                </c:pt>
                <c:pt idx="99">
                  <c:v>5007</c:v>
                </c:pt>
                <c:pt idx="100">
                  <c:v>2810</c:v>
                </c:pt>
                <c:pt idx="101">
                  <c:v>2721</c:v>
                </c:pt>
                <c:pt idx="102">
                  <c:v>3641</c:v>
                </c:pt>
                <c:pt idx="103">
                  <c:v>3858</c:v>
                </c:pt>
                <c:pt idx="104">
                  <c:v>2763</c:v>
                </c:pt>
                <c:pt idx="105">
                  <c:v>2744</c:v>
                </c:pt>
                <c:pt idx="106">
                  <c:v>3432</c:v>
                </c:pt>
                <c:pt idx="107">
                  <c:v>2875</c:v>
                </c:pt>
                <c:pt idx="108">
                  <c:v>3489</c:v>
                </c:pt>
                <c:pt idx="109">
                  <c:v>2789</c:v>
                </c:pt>
                <c:pt idx="110">
                  <c:v>3377</c:v>
                </c:pt>
                <c:pt idx="111">
                  <c:v>2961</c:v>
                </c:pt>
                <c:pt idx="112">
                  <c:v>3344</c:v>
                </c:pt>
                <c:pt idx="113">
                  <c:v>3129</c:v>
                </c:pt>
                <c:pt idx="114">
                  <c:v>3179</c:v>
                </c:pt>
                <c:pt idx="115">
                  <c:v>3033</c:v>
                </c:pt>
                <c:pt idx="116">
                  <c:v>2877</c:v>
                </c:pt>
                <c:pt idx="117">
                  <c:v>2527</c:v>
                </c:pt>
                <c:pt idx="118">
                  <c:v>3143</c:v>
                </c:pt>
                <c:pt idx="119">
                  <c:v>2617</c:v>
                </c:pt>
                <c:pt idx="120">
                  <c:v>2878</c:v>
                </c:pt>
                <c:pt idx="121">
                  <c:v>2829</c:v>
                </c:pt>
                <c:pt idx="122">
                  <c:v>2578</c:v>
                </c:pt>
                <c:pt idx="123">
                  <c:v>2690</c:v>
                </c:pt>
                <c:pt idx="124">
                  <c:v>5376</c:v>
                </c:pt>
                <c:pt idx="125">
                  <c:v>3396</c:v>
                </c:pt>
                <c:pt idx="126">
                  <c:v>3291</c:v>
                </c:pt>
                <c:pt idx="127">
                  <c:v>4366</c:v>
                </c:pt>
                <c:pt idx="128">
                  <c:v>4980</c:v>
                </c:pt>
                <c:pt idx="129">
                  <c:v>3271</c:v>
                </c:pt>
                <c:pt idx="130">
                  <c:v>3381</c:v>
                </c:pt>
                <c:pt idx="131">
                  <c:v>4200</c:v>
                </c:pt>
                <c:pt idx="132">
                  <c:v>3402</c:v>
                </c:pt>
                <c:pt idx="133">
                  <c:v>4153</c:v>
                </c:pt>
                <c:pt idx="134">
                  <c:v>3282</c:v>
                </c:pt>
                <c:pt idx="135">
                  <c:v>3427</c:v>
                </c:pt>
                <c:pt idx="136">
                  <c:v>3646</c:v>
                </c:pt>
                <c:pt idx="137">
                  <c:v>3984</c:v>
                </c:pt>
                <c:pt idx="138">
                  <c:v>3897</c:v>
                </c:pt>
                <c:pt idx="139">
                  <c:v>3783</c:v>
                </c:pt>
                <c:pt idx="140">
                  <c:v>3573</c:v>
                </c:pt>
                <c:pt idx="141">
                  <c:v>3449</c:v>
                </c:pt>
                <c:pt idx="142">
                  <c:v>2994</c:v>
                </c:pt>
                <c:pt idx="143">
                  <c:v>3697</c:v>
                </c:pt>
                <c:pt idx="144">
                  <c:v>3123</c:v>
                </c:pt>
                <c:pt idx="145">
                  <c:v>3371</c:v>
                </c:pt>
                <c:pt idx="146">
                  <c:v>3360</c:v>
                </c:pt>
                <c:pt idx="147">
                  <c:v>3050</c:v>
                </c:pt>
                <c:pt idx="148">
                  <c:v>3295</c:v>
                </c:pt>
                <c:pt idx="149">
                  <c:v>6732</c:v>
                </c:pt>
              </c:numCache>
            </c:numRef>
          </c:xVal>
          <c:yVal>
            <c:numRef>
              <c:f>Regression!$A$2:$A$151</c:f>
              <c:numCache>
                <c:formatCode>0</c:formatCode>
                <c:ptCount val="150"/>
                <c:pt idx="0">
                  <c:v>74411</c:v>
                </c:pt>
                <c:pt idx="1">
                  <c:v>35744</c:v>
                </c:pt>
                <c:pt idx="2">
                  <c:v>244478</c:v>
                </c:pt>
                <c:pt idx="3">
                  <c:v>137500</c:v>
                </c:pt>
                <c:pt idx="4">
                  <c:v>47919</c:v>
                </c:pt>
                <c:pt idx="5">
                  <c:v>32390</c:v>
                </c:pt>
                <c:pt idx="6">
                  <c:v>104323</c:v>
                </c:pt>
                <c:pt idx="7">
                  <c:v>51404</c:v>
                </c:pt>
                <c:pt idx="8">
                  <c:v>128638</c:v>
                </c:pt>
                <c:pt idx="9">
                  <c:v>46021</c:v>
                </c:pt>
                <c:pt idx="10">
                  <c:v>31356</c:v>
                </c:pt>
                <c:pt idx="11">
                  <c:v>114842</c:v>
                </c:pt>
                <c:pt idx="12">
                  <c:v>57815</c:v>
                </c:pt>
                <c:pt idx="13">
                  <c:v>119800</c:v>
                </c:pt>
                <c:pt idx="14">
                  <c:v>116272</c:v>
                </c:pt>
                <c:pt idx="15">
                  <c:v>39469</c:v>
                </c:pt>
                <c:pt idx="16">
                  <c:v>46287</c:v>
                </c:pt>
                <c:pt idx="17">
                  <c:v>31072</c:v>
                </c:pt>
                <c:pt idx="18">
                  <c:v>154871</c:v>
                </c:pt>
                <c:pt idx="19">
                  <c:v>38743</c:v>
                </c:pt>
                <c:pt idx="20">
                  <c:v>48859</c:v>
                </c:pt>
                <c:pt idx="21">
                  <c:v>59412</c:v>
                </c:pt>
                <c:pt idx="22">
                  <c:v>21239</c:v>
                </c:pt>
                <c:pt idx="23">
                  <c:v>43362</c:v>
                </c:pt>
                <c:pt idx="24">
                  <c:v>559140</c:v>
                </c:pt>
                <c:pt idx="25">
                  <c:v>92288</c:v>
                </c:pt>
                <c:pt idx="26">
                  <c:v>51919</c:v>
                </c:pt>
                <c:pt idx="27">
                  <c:v>313527</c:v>
                </c:pt>
                <c:pt idx="28">
                  <c:v>165932</c:v>
                </c:pt>
                <c:pt idx="29">
                  <c:v>61424</c:v>
                </c:pt>
                <c:pt idx="30">
                  <c:v>43037</c:v>
                </c:pt>
                <c:pt idx="31">
                  <c:v>130187</c:v>
                </c:pt>
                <c:pt idx="32">
                  <c:v>63809</c:v>
                </c:pt>
                <c:pt idx="33">
                  <c:v>156829</c:v>
                </c:pt>
                <c:pt idx="34">
                  <c:v>52978</c:v>
                </c:pt>
                <c:pt idx="35">
                  <c:v>30265</c:v>
                </c:pt>
                <c:pt idx="36">
                  <c:v>147308</c:v>
                </c:pt>
                <c:pt idx="37">
                  <c:v>69299</c:v>
                </c:pt>
                <c:pt idx="38">
                  <c:v>149392</c:v>
                </c:pt>
                <c:pt idx="39">
                  <c:v>150543</c:v>
                </c:pt>
                <c:pt idx="40">
                  <c:v>48796</c:v>
                </c:pt>
                <c:pt idx="41">
                  <c:v>56473</c:v>
                </c:pt>
                <c:pt idx="42">
                  <c:v>40715</c:v>
                </c:pt>
                <c:pt idx="43">
                  <c:v>187238</c:v>
                </c:pt>
                <c:pt idx="44">
                  <c:v>47819</c:v>
                </c:pt>
                <c:pt idx="45">
                  <c:v>63808</c:v>
                </c:pt>
                <c:pt idx="46">
                  <c:v>73073</c:v>
                </c:pt>
                <c:pt idx="47">
                  <c:v>28579</c:v>
                </c:pt>
                <c:pt idx="48">
                  <c:v>56611</c:v>
                </c:pt>
                <c:pt idx="49">
                  <c:v>699378</c:v>
                </c:pt>
                <c:pt idx="50">
                  <c:v>111489</c:v>
                </c:pt>
                <c:pt idx="51">
                  <c:v>60445</c:v>
                </c:pt>
                <c:pt idx="52">
                  <c:v>369356</c:v>
                </c:pt>
                <c:pt idx="53">
                  <c:v>192161</c:v>
                </c:pt>
                <c:pt idx="54">
                  <c:v>77103</c:v>
                </c:pt>
                <c:pt idx="55">
                  <c:v>52445</c:v>
                </c:pt>
                <c:pt idx="56">
                  <c:v>147043</c:v>
                </c:pt>
                <c:pt idx="57">
                  <c:v>78439</c:v>
                </c:pt>
                <c:pt idx="58">
                  <c:v>198142</c:v>
                </c:pt>
                <c:pt idx="59">
                  <c:v>64417</c:v>
                </c:pt>
                <c:pt idx="60">
                  <c:v>35204</c:v>
                </c:pt>
                <c:pt idx="61">
                  <c:v>177233</c:v>
                </c:pt>
                <c:pt idx="62">
                  <c:v>79903</c:v>
                </c:pt>
                <c:pt idx="63">
                  <c:v>173224</c:v>
                </c:pt>
                <c:pt idx="64">
                  <c:v>174089</c:v>
                </c:pt>
                <c:pt idx="65">
                  <c:v>56835</c:v>
                </c:pt>
                <c:pt idx="66">
                  <c:v>68476</c:v>
                </c:pt>
                <c:pt idx="67">
                  <c:v>49127</c:v>
                </c:pt>
                <c:pt idx="68">
                  <c:v>233279</c:v>
                </c:pt>
                <c:pt idx="69">
                  <c:v>55152</c:v>
                </c:pt>
                <c:pt idx="70">
                  <c:v>75638</c:v>
                </c:pt>
                <c:pt idx="71">
                  <c:v>93287</c:v>
                </c:pt>
                <c:pt idx="72">
                  <c:v>33905</c:v>
                </c:pt>
                <c:pt idx="73">
                  <c:v>70611</c:v>
                </c:pt>
                <c:pt idx="74">
                  <c:v>833299</c:v>
                </c:pt>
                <c:pt idx="75">
                  <c:v>129097</c:v>
                </c:pt>
                <c:pt idx="76">
                  <c:v>75637</c:v>
                </c:pt>
                <c:pt idx="77">
                  <c:v>390325</c:v>
                </c:pt>
                <c:pt idx="78">
                  <c:v>204893</c:v>
                </c:pt>
                <c:pt idx="79">
                  <c:v>85267</c:v>
                </c:pt>
                <c:pt idx="80">
                  <c:v>61325</c:v>
                </c:pt>
                <c:pt idx="81">
                  <c:v>155158</c:v>
                </c:pt>
                <c:pt idx="82">
                  <c:v>86679</c:v>
                </c:pt>
                <c:pt idx="83">
                  <c:v>218647</c:v>
                </c:pt>
                <c:pt idx="84">
                  <c:v>73066</c:v>
                </c:pt>
                <c:pt idx="85">
                  <c:v>40291</c:v>
                </c:pt>
                <c:pt idx="86">
                  <c:v>214400</c:v>
                </c:pt>
                <c:pt idx="87">
                  <c:v>92427</c:v>
                </c:pt>
                <c:pt idx="88">
                  <c:v>197153</c:v>
                </c:pt>
                <c:pt idx="89">
                  <c:v>187289</c:v>
                </c:pt>
                <c:pt idx="90">
                  <c:v>67363</c:v>
                </c:pt>
                <c:pt idx="91">
                  <c:v>75827</c:v>
                </c:pt>
                <c:pt idx="92">
                  <c:v>57140</c:v>
                </c:pt>
                <c:pt idx="93">
                  <c:v>247592</c:v>
                </c:pt>
                <c:pt idx="94">
                  <c:v>61939</c:v>
                </c:pt>
                <c:pt idx="95">
                  <c:v>83006</c:v>
                </c:pt>
                <c:pt idx="96">
                  <c:v>103466</c:v>
                </c:pt>
                <c:pt idx="97">
                  <c:v>41660</c:v>
                </c:pt>
                <c:pt idx="98">
                  <c:v>77981</c:v>
                </c:pt>
                <c:pt idx="99">
                  <c:v>949570</c:v>
                </c:pt>
                <c:pt idx="100">
                  <c:v>135867</c:v>
                </c:pt>
                <c:pt idx="101">
                  <c:v>77404</c:v>
                </c:pt>
                <c:pt idx="102">
                  <c:v>398732</c:v>
                </c:pt>
                <c:pt idx="103">
                  <c:v>206309</c:v>
                </c:pt>
                <c:pt idx="104">
                  <c:v>91365</c:v>
                </c:pt>
                <c:pt idx="105">
                  <c:v>62022</c:v>
                </c:pt>
                <c:pt idx="106">
                  <c:v>167260</c:v>
                </c:pt>
                <c:pt idx="107">
                  <c:v>90398</c:v>
                </c:pt>
                <c:pt idx="108">
                  <c:v>242406</c:v>
                </c:pt>
                <c:pt idx="109">
                  <c:v>75208</c:v>
                </c:pt>
                <c:pt idx="110">
                  <c:v>43204</c:v>
                </c:pt>
                <c:pt idx="111">
                  <c:v>236254</c:v>
                </c:pt>
                <c:pt idx="112">
                  <c:v>96648</c:v>
                </c:pt>
                <c:pt idx="113">
                  <c:v>220242</c:v>
                </c:pt>
                <c:pt idx="114">
                  <c:v>188424</c:v>
                </c:pt>
                <c:pt idx="115">
                  <c:v>71901</c:v>
                </c:pt>
                <c:pt idx="116">
                  <c:v>80432</c:v>
                </c:pt>
                <c:pt idx="117">
                  <c:v>62661</c:v>
                </c:pt>
                <c:pt idx="118">
                  <c:v>257805</c:v>
                </c:pt>
                <c:pt idx="119">
                  <c:v>68467</c:v>
                </c:pt>
                <c:pt idx="120">
                  <c:v>96380</c:v>
                </c:pt>
                <c:pt idx="121">
                  <c:v>108822</c:v>
                </c:pt>
                <c:pt idx="122">
                  <c:v>45054</c:v>
                </c:pt>
                <c:pt idx="123">
                  <c:v>84068</c:v>
                </c:pt>
                <c:pt idx="124">
                  <c:v>1014693</c:v>
                </c:pt>
                <c:pt idx="125">
                  <c:v>173531</c:v>
                </c:pt>
                <c:pt idx="126">
                  <c:v>92535</c:v>
                </c:pt>
                <c:pt idx="127">
                  <c:v>582363</c:v>
                </c:pt>
                <c:pt idx="128">
                  <c:v>283326</c:v>
                </c:pt>
                <c:pt idx="129">
                  <c:v>113919</c:v>
                </c:pt>
                <c:pt idx="130">
                  <c:v>75626</c:v>
                </c:pt>
                <c:pt idx="131">
                  <c:v>228906</c:v>
                </c:pt>
                <c:pt idx="132">
                  <c:v>119680</c:v>
                </c:pt>
                <c:pt idx="133">
                  <c:v>291519</c:v>
                </c:pt>
                <c:pt idx="134">
                  <c:v>99564</c:v>
                </c:pt>
                <c:pt idx="135">
                  <c:v>52135</c:v>
                </c:pt>
                <c:pt idx="136">
                  <c:v>296182</c:v>
                </c:pt>
                <c:pt idx="137">
                  <c:v>124162</c:v>
                </c:pt>
                <c:pt idx="138">
                  <c:v>271669</c:v>
                </c:pt>
                <c:pt idx="139">
                  <c:v>266694</c:v>
                </c:pt>
                <c:pt idx="140">
                  <c:v>88859</c:v>
                </c:pt>
                <c:pt idx="141">
                  <c:v>105254</c:v>
                </c:pt>
                <c:pt idx="142">
                  <c:v>81485</c:v>
                </c:pt>
                <c:pt idx="143">
                  <c:v>319796</c:v>
                </c:pt>
                <c:pt idx="144">
                  <c:v>88182</c:v>
                </c:pt>
                <c:pt idx="145">
                  <c:v>119876</c:v>
                </c:pt>
                <c:pt idx="146">
                  <c:v>131154</c:v>
                </c:pt>
                <c:pt idx="147">
                  <c:v>54582</c:v>
                </c:pt>
                <c:pt idx="148">
                  <c:v>113474</c:v>
                </c:pt>
                <c:pt idx="149">
                  <c:v>1276376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78-454F-877A-9B2B73EA47DB}"/>
            </c:ext>
          </c:extLst>
        </c:ser>
        <c:ser>
          <c:idx val="1"/>
          <c:order val="1"/>
          <c:tx>
            <c:v>Predicted Dependent Variable (Y)</c:v>
          </c:tx>
          <c:spPr>
            <a:ln w="38100">
              <a:noFill/>
            </a:ln>
          </c:spPr>
          <c:xVal>
            <c:numRef>
              <c:f>Regression!$E$2:$E$151</c:f>
              <c:numCache>
                <c:formatCode>0</c:formatCode>
                <c:ptCount val="150"/>
                <c:pt idx="0">
                  <c:v>1782</c:v>
                </c:pt>
                <c:pt idx="1">
                  <c:v>1692</c:v>
                </c:pt>
                <c:pt idx="2">
                  <c:v>2369</c:v>
                </c:pt>
                <c:pt idx="3">
                  <c:v>2549</c:v>
                </c:pt>
                <c:pt idx="4">
                  <c:v>1785</c:v>
                </c:pt>
                <c:pt idx="5">
                  <c:v>1846</c:v>
                </c:pt>
                <c:pt idx="6">
                  <c:v>2187</c:v>
                </c:pt>
                <c:pt idx="7">
                  <c:v>1927</c:v>
                </c:pt>
                <c:pt idx="8">
                  <c:v>2295</c:v>
                </c:pt>
                <c:pt idx="9">
                  <c:v>1815</c:v>
                </c:pt>
                <c:pt idx="10">
                  <c:v>2271</c:v>
                </c:pt>
                <c:pt idx="11">
                  <c:v>1941</c:v>
                </c:pt>
                <c:pt idx="12">
                  <c:v>2122</c:v>
                </c:pt>
                <c:pt idx="13">
                  <c:v>2046</c:v>
                </c:pt>
                <c:pt idx="14">
                  <c:v>2102</c:v>
                </c:pt>
                <c:pt idx="15">
                  <c:v>1960</c:v>
                </c:pt>
                <c:pt idx="16">
                  <c:v>1866</c:v>
                </c:pt>
                <c:pt idx="17">
                  <c:v>1659</c:v>
                </c:pt>
                <c:pt idx="18">
                  <c:v>2060</c:v>
                </c:pt>
                <c:pt idx="19">
                  <c:v>1733</c:v>
                </c:pt>
                <c:pt idx="20">
                  <c:v>1786</c:v>
                </c:pt>
                <c:pt idx="21">
                  <c:v>1835</c:v>
                </c:pt>
                <c:pt idx="22">
                  <c:v>1772</c:v>
                </c:pt>
                <c:pt idx="23">
                  <c:v>1711</c:v>
                </c:pt>
                <c:pt idx="24">
                  <c:v>3431</c:v>
                </c:pt>
                <c:pt idx="25">
                  <c:v>2074</c:v>
                </c:pt>
                <c:pt idx="26">
                  <c:v>1994</c:v>
                </c:pt>
                <c:pt idx="27">
                  <c:v>2790</c:v>
                </c:pt>
                <c:pt idx="28">
                  <c:v>3063</c:v>
                </c:pt>
                <c:pt idx="29">
                  <c:v>2071</c:v>
                </c:pt>
                <c:pt idx="30">
                  <c:v>2069</c:v>
                </c:pt>
                <c:pt idx="31">
                  <c:v>2607</c:v>
                </c:pt>
                <c:pt idx="32">
                  <c:v>2213</c:v>
                </c:pt>
                <c:pt idx="33">
                  <c:v>2761</c:v>
                </c:pt>
                <c:pt idx="34">
                  <c:v>2114</c:v>
                </c:pt>
                <c:pt idx="35">
                  <c:v>2742</c:v>
                </c:pt>
                <c:pt idx="36">
                  <c:v>2244</c:v>
                </c:pt>
                <c:pt idx="37">
                  <c:v>2448</c:v>
                </c:pt>
                <c:pt idx="38">
                  <c:v>2387</c:v>
                </c:pt>
                <c:pt idx="39">
                  <c:v>2481</c:v>
                </c:pt>
                <c:pt idx="40">
                  <c:v>2211</c:v>
                </c:pt>
                <c:pt idx="41">
                  <c:v>2177</c:v>
                </c:pt>
                <c:pt idx="42">
                  <c:v>1871</c:v>
                </c:pt>
                <c:pt idx="43">
                  <c:v>2407</c:v>
                </c:pt>
                <c:pt idx="44">
                  <c:v>1970</c:v>
                </c:pt>
                <c:pt idx="45">
                  <c:v>2075</c:v>
                </c:pt>
                <c:pt idx="46">
                  <c:v>2155</c:v>
                </c:pt>
                <c:pt idx="47">
                  <c:v>1985</c:v>
                </c:pt>
                <c:pt idx="48">
                  <c:v>1974</c:v>
                </c:pt>
                <c:pt idx="49">
                  <c:v>4012</c:v>
                </c:pt>
                <c:pt idx="50">
                  <c:v>2432</c:v>
                </c:pt>
                <c:pt idx="51">
                  <c:v>2339</c:v>
                </c:pt>
                <c:pt idx="52">
                  <c:v>3138</c:v>
                </c:pt>
                <c:pt idx="53">
                  <c:v>3496</c:v>
                </c:pt>
                <c:pt idx="54">
                  <c:v>2369</c:v>
                </c:pt>
                <c:pt idx="55">
                  <c:v>2351</c:v>
                </c:pt>
                <c:pt idx="56">
                  <c:v>2927</c:v>
                </c:pt>
                <c:pt idx="57">
                  <c:v>2539</c:v>
                </c:pt>
                <c:pt idx="58">
                  <c:v>3157</c:v>
                </c:pt>
                <c:pt idx="59">
                  <c:v>2428</c:v>
                </c:pt>
                <c:pt idx="60">
                  <c:v>3090</c:v>
                </c:pt>
                <c:pt idx="61">
                  <c:v>2578</c:v>
                </c:pt>
                <c:pt idx="62">
                  <c:v>2822</c:v>
                </c:pt>
                <c:pt idx="63">
                  <c:v>2700</c:v>
                </c:pt>
                <c:pt idx="64">
                  <c:v>2850</c:v>
                </c:pt>
                <c:pt idx="65">
                  <c:v>2575</c:v>
                </c:pt>
                <c:pt idx="66">
                  <c:v>2503</c:v>
                </c:pt>
                <c:pt idx="67">
                  <c:v>2185</c:v>
                </c:pt>
                <c:pt idx="68">
                  <c:v>2753</c:v>
                </c:pt>
                <c:pt idx="69">
                  <c:v>2269</c:v>
                </c:pt>
                <c:pt idx="70">
                  <c:v>2425</c:v>
                </c:pt>
                <c:pt idx="71">
                  <c:v>2508</c:v>
                </c:pt>
                <c:pt idx="72">
                  <c:v>2329</c:v>
                </c:pt>
                <c:pt idx="73">
                  <c:v>2308</c:v>
                </c:pt>
                <c:pt idx="74">
                  <c:v>4607</c:v>
                </c:pt>
                <c:pt idx="75">
                  <c:v>2651</c:v>
                </c:pt>
                <c:pt idx="76">
                  <c:v>2580</c:v>
                </c:pt>
                <c:pt idx="77">
                  <c:v>3336</c:v>
                </c:pt>
                <c:pt idx="78">
                  <c:v>3755</c:v>
                </c:pt>
                <c:pt idx="79">
                  <c:v>2561</c:v>
                </c:pt>
                <c:pt idx="80">
                  <c:v>2553</c:v>
                </c:pt>
                <c:pt idx="81">
                  <c:v>3142</c:v>
                </c:pt>
                <c:pt idx="82">
                  <c:v>2679</c:v>
                </c:pt>
                <c:pt idx="83">
                  <c:v>3351</c:v>
                </c:pt>
                <c:pt idx="84">
                  <c:v>2608</c:v>
                </c:pt>
                <c:pt idx="85">
                  <c:v>3337</c:v>
                </c:pt>
                <c:pt idx="86">
                  <c:v>2789</c:v>
                </c:pt>
                <c:pt idx="87">
                  <c:v>3094</c:v>
                </c:pt>
                <c:pt idx="88">
                  <c:v>2947</c:v>
                </c:pt>
                <c:pt idx="89">
                  <c:v>2988</c:v>
                </c:pt>
                <c:pt idx="90">
                  <c:v>2844</c:v>
                </c:pt>
                <c:pt idx="91">
                  <c:v>2702</c:v>
                </c:pt>
                <c:pt idx="92">
                  <c:v>2359</c:v>
                </c:pt>
                <c:pt idx="93">
                  <c:v>2975</c:v>
                </c:pt>
                <c:pt idx="94">
                  <c:v>2464</c:v>
                </c:pt>
                <c:pt idx="95">
                  <c:v>2641</c:v>
                </c:pt>
                <c:pt idx="96">
                  <c:v>2682</c:v>
                </c:pt>
                <c:pt idx="97">
                  <c:v>2484</c:v>
                </c:pt>
                <c:pt idx="98">
                  <c:v>2504</c:v>
                </c:pt>
                <c:pt idx="99">
                  <c:v>5007</c:v>
                </c:pt>
                <c:pt idx="100">
                  <c:v>2810</c:v>
                </c:pt>
                <c:pt idx="101">
                  <c:v>2721</c:v>
                </c:pt>
                <c:pt idx="102">
                  <c:v>3641</c:v>
                </c:pt>
                <c:pt idx="103">
                  <c:v>3858</c:v>
                </c:pt>
                <c:pt idx="104">
                  <c:v>2763</c:v>
                </c:pt>
                <c:pt idx="105">
                  <c:v>2744</c:v>
                </c:pt>
                <c:pt idx="106">
                  <c:v>3432</c:v>
                </c:pt>
                <c:pt idx="107">
                  <c:v>2875</c:v>
                </c:pt>
                <c:pt idx="108">
                  <c:v>3489</c:v>
                </c:pt>
                <c:pt idx="109">
                  <c:v>2789</c:v>
                </c:pt>
                <c:pt idx="110">
                  <c:v>3377</c:v>
                </c:pt>
                <c:pt idx="111">
                  <c:v>2961</c:v>
                </c:pt>
                <c:pt idx="112">
                  <c:v>3344</c:v>
                </c:pt>
                <c:pt idx="113">
                  <c:v>3129</c:v>
                </c:pt>
                <c:pt idx="114">
                  <c:v>3179</c:v>
                </c:pt>
                <c:pt idx="115">
                  <c:v>3033</c:v>
                </c:pt>
                <c:pt idx="116">
                  <c:v>2877</c:v>
                </c:pt>
                <c:pt idx="117">
                  <c:v>2527</c:v>
                </c:pt>
                <c:pt idx="118">
                  <c:v>3143</c:v>
                </c:pt>
                <c:pt idx="119">
                  <c:v>2617</c:v>
                </c:pt>
                <c:pt idx="120">
                  <c:v>2878</c:v>
                </c:pt>
                <c:pt idx="121">
                  <c:v>2829</c:v>
                </c:pt>
                <c:pt idx="122">
                  <c:v>2578</c:v>
                </c:pt>
                <c:pt idx="123">
                  <c:v>2690</c:v>
                </c:pt>
                <c:pt idx="124">
                  <c:v>5376</c:v>
                </c:pt>
                <c:pt idx="125">
                  <c:v>3396</c:v>
                </c:pt>
                <c:pt idx="126">
                  <c:v>3291</c:v>
                </c:pt>
                <c:pt idx="127">
                  <c:v>4366</c:v>
                </c:pt>
                <c:pt idx="128">
                  <c:v>4980</c:v>
                </c:pt>
                <c:pt idx="129">
                  <c:v>3271</c:v>
                </c:pt>
                <c:pt idx="130">
                  <c:v>3381</c:v>
                </c:pt>
                <c:pt idx="131">
                  <c:v>4200</c:v>
                </c:pt>
                <c:pt idx="132">
                  <c:v>3402</c:v>
                </c:pt>
                <c:pt idx="133">
                  <c:v>4153</c:v>
                </c:pt>
                <c:pt idx="134">
                  <c:v>3282</c:v>
                </c:pt>
                <c:pt idx="135">
                  <c:v>3427</c:v>
                </c:pt>
                <c:pt idx="136">
                  <c:v>3646</c:v>
                </c:pt>
                <c:pt idx="137">
                  <c:v>3984</c:v>
                </c:pt>
                <c:pt idx="138">
                  <c:v>3897</c:v>
                </c:pt>
                <c:pt idx="139">
                  <c:v>3783</c:v>
                </c:pt>
                <c:pt idx="140">
                  <c:v>3573</c:v>
                </c:pt>
                <c:pt idx="141">
                  <c:v>3449</c:v>
                </c:pt>
                <c:pt idx="142">
                  <c:v>2994</c:v>
                </c:pt>
                <c:pt idx="143">
                  <c:v>3697</c:v>
                </c:pt>
                <c:pt idx="144">
                  <c:v>3123</c:v>
                </c:pt>
                <c:pt idx="145">
                  <c:v>3371</c:v>
                </c:pt>
                <c:pt idx="146">
                  <c:v>3360</c:v>
                </c:pt>
                <c:pt idx="147">
                  <c:v>3050</c:v>
                </c:pt>
                <c:pt idx="148">
                  <c:v>3295</c:v>
                </c:pt>
                <c:pt idx="149">
                  <c:v>6732</c:v>
                </c:pt>
              </c:numCache>
            </c:numRef>
          </c:xVal>
          <c:yVal>
            <c:numRef>
              <c:f>Regression!$I$28:$I$177</c:f>
              <c:numCache>
                <c:formatCode>General</c:formatCode>
                <c:ptCount val="150"/>
                <c:pt idx="0">
                  <c:v>52716.560333884416</c:v>
                </c:pt>
                <c:pt idx="1">
                  <c:v>19347.30015063602</c:v>
                </c:pt>
                <c:pt idx="2">
                  <c:v>267128.31856727233</c:v>
                </c:pt>
                <c:pt idx="3">
                  <c:v>120216.49619064407</c:v>
                </c:pt>
                <c:pt idx="4">
                  <c:v>26421.311867453423</c:v>
                </c:pt>
                <c:pt idx="5">
                  <c:v>33052.477833172088</c:v>
                </c:pt>
                <c:pt idx="6">
                  <c:v>123696.68298925995</c:v>
                </c:pt>
                <c:pt idx="7">
                  <c:v>35637.30610290006</c:v>
                </c:pt>
                <c:pt idx="8">
                  <c:v>133306.26589387452</c:v>
                </c:pt>
                <c:pt idx="9">
                  <c:v>32308.60523477105</c:v>
                </c:pt>
                <c:pt idx="10">
                  <c:v>7198.2384087228202</c:v>
                </c:pt>
                <c:pt idx="11">
                  <c:v>99107.601866418408</c:v>
                </c:pt>
                <c:pt idx="12">
                  <c:v>83099.876397386077</c:v>
                </c:pt>
                <c:pt idx="13">
                  <c:v>138491.77685228869</c:v>
                </c:pt>
                <c:pt idx="14">
                  <c:v>75064.153790189186</c:v>
                </c:pt>
                <c:pt idx="15">
                  <c:v>19396.506987981789</c:v>
                </c:pt>
                <c:pt idx="16">
                  <c:v>29315.943440859177</c:v>
                </c:pt>
                <c:pt idx="17">
                  <c:v>5979.3453775411253</c:v>
                </c:pt>
                <c:pt idx="18">
                  <c:v>124606.11121269771</c:v>
                </c:pt>
                <c:pt idx="19">
                  <c:v>26450.671435837277</c:v>
                </c:pt>
                <c:pt idx="20">
                  <c:v>25813.954829889692</c:v>
                </c:pt>
                <c:pt idx="21">
                  <c:v>37770.869420060648</c:v>
                </c:pt>
                <c:pt idx="22">
                  <c:v>1453.4223952215179</c:v>
                </c:pt>
                <c:pt idx="23">
                  <c:v>20099.323475116638</c:v>
                </c:pt>
                <c:pt idx="24">
                  <c:v>657715.58602267539</c:v>
                </c:pt>
                <c:pt idx="25">
                  <c:v>77864.054316820766</c:v>
                </c:pt>
                <c:pt idx="26">
                  <c:v>39582.75777586631</c:v>
                </c:pt>
                <c:pt idx="27">
                  <c:v>327144.61132819072</c:v>
                </c:pt>
                <c:pt idx="28">
                  <c:v>158441.92725741307</c:v>
                </c:pt>
                <c:pt idx="29">
                  <c:v>48007.523269872458</c:v>
                </c:pt>
                <c:pt idx="30">
                  <c:v>54104.174449188722</c:v>
                </c:pt>
                <c:pt idx="31">
                  <c:v>164846.4040658185</c:v>
                </c:pt>
                <c:pt idx="32">
                  <c:v>57133.138317536424</c:v>
                </c:pt>
                <c:pt idx="33">
                  <c:v>163839.03494770703</c:v>
                </c:pt>
                <c:pt idx="34">
                  <c:v>51402.163088354784</c:v>
                </c:pt>
                <c:pt idx="35">
                  <c:v>16796.727654545379</c:v>
                </c:pt>
                <c:pt idx="36">
                  <c:v>134598.70116534468</c:v>
                </c:pt>
                <c:pt idx="37">
                  <c:v>110071.50812264216</c:v>
                </c:pt>
                <c:pt idx="38">
                  <c:v>179328.76932389996</c:v>
                </c:pt>
                <c:pt idx="39">
                  <c:v>110123.45200499715</c:v>
                </c:pt>
                <c:pt idx="40">
                  <c:v>38719.797804518021</c:v>
                </c:pt>
                <c:pt idx="41">
                  <c:v>51411.132210712072</c:v>
                </c:pt>
                <c:pt idx="42">
                  <c:v>23157.745593993717</c:v>
                </c:pt>
                <c:pt idx="43">
                  <c:v>157687.93060469395</c:v>
                </c:pt>
                <c:pt idx="44">
                  <c:v>46463.541664038617</c:v>
                </c:pt>
                <c:pt idx="45">
                  <c:v>48819.715148095354</c:v>
                </c:pt>
                <c:pt idx="46">
                  <c:v>62182.825710576079</c:v>
                </c:pt>
                <c:pt idx="47">
                  <c:v>17162.0194158054</c:v>
                </c:pt>
                <c:pt idx="48">
                  <c:v>43078.858244535033</c:v>
                </c:pt>
                <c:pt idx="49">
                  <c:v>767865.78388371156</c:v>
                </c:pt>
                <c:pt idx="50">
                  <c:v>103203.37881286492</c:v>
                </c:pt>
                <c:pt idx="51">
                  <c:v>58212.721141832335</c:v>
                </c:pt>
                <c:pt idx="52">
                  <c:v>371224.5402452093</c:v>
                </c:pt>
                <c:pt idx="53">
                  <c:v>180733.88331468593</c:v>
                </c:pt>
                <c:pt idx="54">
                  <c:v>68245.512066293668</c:v>
                </c:pt>
                <c:pt idx="55">
                  <c:v>75299.715992770245</c:v>
                </c:pt>
                <c:pt idx="56">
                  <c:v>196513.78325976402</c:v>
                </c:pt>
                <c:pt idx="57">
                  <c:v>80583.442056270374</c:v>
                </c:pt>
                <c:pt idx="58">
                  <c:v>192047.03104945252</c:v>
                </c:pt>
                <c:pt idx="59">
                  <c:v>71681.686006185584</c:v>
                </c:pt>
                <c:pt idx="60">
                  <c:v>29194.790688526264</c:v>
                </c:pt>
                <c:pt idx="61">
                  <c:v>166353.02042156304</c:v>
                </c:pt>
                <c:pt idx="62">
                  <c:v>136989.47370034998</c:v>
                </c:pt>
                <c:pt idx="63">
                  <c:v>198192.52033275957</c:v>
                </c:pt>
                <c:pt idx="64">
                  <c:v>135299.35325248376</c:v>
                </c:pt>
                <c:pt idx="65">
                  <c:v>56959.10262178423</c:v>
                </c:pt>
                <c:pt idx="66">
                  <c:v>73246.594847365603</c:v>
                </c:pt>
                <c:pt idx="67">
                  <c:v>41335.839602990476</c:v>
                </c:pt>
                <c:pt idx="68">
                  <c:v>185629.19782766327</c:v>
                </c:pt>
                <c:pt idx="69">
                  <c:v>62216.858080066842</c:v>
                </c:pt>
                <c:pt idx="70">
                  <c:v>72167.195179656963</c:v>
                </c:pt>
                <c:pt idx="71">
                  <c:v>84324.71686977132</c:v>
                </c:pt>
                <c:pt idx="72">
                  <c:v>34144.380373878099</c:v>
                </c:pt>
                <c:pt idx="73">
                  <c:v>63318.756629924304</c:v>
                </c:pt>
                <c:pt idx="74">
                  <c:v>848259.6682554303</c:v>
                </c:pt>
                <c:pt idx="75">
                  <c:v>122284.803230551</c:v>
                </c:pt>
                <c:pt idx="76">
                  <c:v>72850.311472821413</c:v>
                </c:pt>
                <c:pt idx="77">
                  <c:v>406140.96100573393</c:v>
                </c:pt>
                <c:pt idx="78">
                  <c:v>193287.38329279743</c:v>
                </c:pt>
                <c:pt idx="79">
                  <c:v>86248.788434669535</c:v>
                </c:pt>
                <c:pt idx="80">
                  <c:v>83674.486827838016</c:v>
                </c:pt>
                <c:pt idx="81">
                  <c:v>206778.4054896296</c:v>
                </c:pt>
                <c:pt idx="82">
                  <c:v>94219.731988501459</c:v>
                </c:pt>
                <c:pt idx="83">
                  <c:v>216265.80271727536</c:v>
                </c:pt>
                <c:pt idx="84">
                  <c:v>90767.214374078583</c:v>
                </c:pt>
                <c:pt idx="85">
                  <c:v>40011.483879860767</c:v>
                </c:pt>
                <c:pt idx="86">
                  <c:v>195839.10232413409</c:v>
                </c:pt>
                <c:pt idx="87">
                  <c:v>157783.44091077102</c:v>
                </c:pt>
                <c:pt idx="88">
                  <c:v>217867.58718939772</c:v>
                </c:pt>
                <c:pt idx="89">
                  <c:v>157394.41443714488</c:v>
                </c:pt>
                <c:pt idx="90">
                  <c:v>74295.565142373904</c:v>
                </c:pt>
                <c:pt idx="91">
                  <c:v>90903.182199482108</c:v>
                </c:pt>
                <c:pt idx="92">
                  <c:v>52269.170296707867</c:v>
                </c:pt>
                <c:pt idx="93">
                  <c:v>206730.673765435</c:v>
                </c:pt>
                <c:pt idx="94">
                  <c:v>76246.260356859973</c:v>
                </c:pt>
                <c:pt idx="95">
                  <c:v>86088.938745205334</c:v>
                </c:pt>
                <c:pt idx="96">
                  <c:v>101991.46948103711</c:v>
                </c:pt>
                <c:pt idx="97">
                  <c:v>45063.143509330766</c:v>
                </c:pt>
                <c:pt idx="98">
                  <c:v>79748.463475729484</c:v>
                </c:pt>
                <c:pt idx="99">
                  <c:v>990025.93802857713</c:v>
                </c:pt>
                <c:pt idx="100">
                  <c:v>127622.4694648119</c:v>
                </c:pt>
                <c:pt idx="101">
                  <c:v>77872.115241716907</c:v>
                </c:pt>
                <c:pt idx="102">
                  <c:v>410828.46379086433</c:v>
                </c:pt>
                <c:pt idx="103">
                  <c:v>179166.06615683547</c:v>
                </c:pt>
                <c:pt idx="104">
                  <c:v>93185.460750228594</c:v>
                </c:pt>
                <c:pt idx="105">
                  <c:v>91241.769072854993</c:v>
                </c:pt>
                <c:pt idx="106">
                  <c:v>216222.38757537754</c:v>
                </c:pt>
                <c:pt idx="107">
                  <c:v>97880.317058992892</c:v>
                </c:pt>
                <c:pt idx="108">
                  <c:v>220129.45948543685</c:v>
                </c:pt>
                <c:pt idx="109">
                  <c:v>104419.98007334179</c:v>
                </c:pt>
                <c:pt idx="110">
                  <c:v>41051.322516090979</c:v>
                </c:pt>
                <c:pt idx="111">
                  <c:v>210434.33775126925</c:v>
                </c:pt>
                <c:pt idx="112">
                  <c:v>166986.59580376913</c:v>
                </c:pt>
                <c:pt idx="113">
                  <c:v>226265.89717385924</c:v>
                </c:pt>
                <c:pt idx="114">
                  <c:v>170731.80220459777</c:v>
                </c:pt>
                <c:pt idx="115">
                  <c:v>83307.940901687136</c:v>
                </c:pt>
                <c:pt idx="116">
                  <c:v>102338.69867127991</c:v>
                </c:pt>
                <c:pt idx="117">
                  <c:v>62027.769855688093</c:v>
                </c:pt>
                <c:pt idx="118">
                  <c:v>221552.44181638921</c:v>
                </c:pt>
                <c:pt idx="119">
                  <c:v>83802.727219231776</c:v>
                </c:pt>
                <c:pt idx="120">
                  <c:v>97620.195581690263</c:v>
                </c:pt>
                <c:pt idx="121">
                  <c:v>107383.66399875031</c:v>
                </c:pt>
                <c:pt idx="122">
                  <c:v>51099.343208096208</c:v>
                </c:pt>
                <c:pt idx="123">
                  <c:v>90820.881824174518</c:v>
                </c:pt>
                <c:pt idx="124">
                  <c:v>1003336.9251424678</c:v>
                </c:pt>
                <c:pt idx="125">
                  <c:v>152502.19667804451</c:v>
                </c:pt>
                <c:pt idx="126">
                  <c:v>104715.801787857</c:v>
                </c:pt>
                <c:pt idx="127">
                  <c:v>536517.7459064445</c:v>
                </c:pt>
                <c:pt idx="128">
                  <c:v>277049.35444732732</c:v>
                </c:pt>
                <c:pt idx="129">
                  <c:v>116836.40183341928</c:v>
                </c:pt>
                <c:pt idx="130">
                  <c:v>120240.8302044312</c:v>
                </c:pt>
                <c:pt idx="131">
                  <c:v>283820.98380710772</c:v>
                </c:pt>
                <c:pt idx="132">
                  <c:v>125277.27960723625</c:v>
                </c:pt>
                <c:pt idx="133">
                  <c:v>264237.67044760898</c:v>
                </c:pt>
                <c:pt idx="134">
                  <c:v>126396.09389588075</c:v>
                </c:pt>
                <c:pt idx="135">
                  <c:v>46758.442072814796</c:v>
                </c:pt>
                <c:pt idx="136">
                  <c:v>253655.40356197426</c:v>
                </c:pt>
                <c:pt idx="137">
                  <c:v>220172.51922738706</c:v>
                </c:pt>
                <c:pt idx="138">
                  <c:v>255635.07763783581</c:v>
                </c:pt>
                <c:pt idx="139">
                  <c:v>218079.8819300817</c:v>
                </c:pt>
                <c:pt idx="140">
                  <c:v>110693.25578258315</c:v>
                </c:pt>
                <c:pt idx="141">
                  <c:v>129681.00804669184</c:v>
                </c:pt>
                <c:pt idx="142">
                  <c:v>87624.751806100699</c:v>
                </c:pt>
                <c:pt idx="143">
                  <c:v>258315.16906467811</c:v>
                </c:pt>
                <c:pt idx="144">
                  <c:v>107160.94835314844</c:v>
                </c:pt>
                <c:pt idx="145">
                  <c:v>125448.43097818442</c:v>
                </c:pt>
                <c:pt idx="146">
                  <c:v>133397.23007491435</c:v>
                </c:pt>
                <c:pt idx="147">
                  <c:v>70391.187195586448</c:v>
                </c:pt>
                <c:pt idx="148">
                  <c:v>119736.90056387305</c:v>
                </c:pt>
                <c:pt idx="149">
                  <c:v>1119912.5130981663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78-454F-877A-9B2B73EA4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560080"/>
        <c:axId val="1656566320"/>
      </c:scatterChart>
      <c:valAx>
        <c:axId val="1656560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Independent Var 4 (X4)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6566320"/>
        <c:crosses val="autoZero"/>
        <c:crossBetween val="midCat"/>
      </c:valAx>
      <c:valAx>
        <c:axId val="16565663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Dependent Variable (Y)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656008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Normal Probability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>
              <a:noFill/>
            </a:ln>
          </c:spPr>
          <c:xVal>
            <c:numRef>
              <c:f>Regression!$M$28:$M$177</c:f>
              <c:numCache>
                <c:formatCode>General</c:formatCode>
                <c:ptCount val="150"/>
                <c:pt idx="0">
                  <c:v>0.33333333333333331</c:v>
                </c:pt>
                <c:pt idx="1">
                  <c:v>1</c:v>
                </c:pt>
                <c:pt idx="2">
                  <c:v>1.6666666666666665</c:v>
                </c:pt>
                <c:pt idx="3">
                  <c:v>2.3333333333333335</c:v>
                </c:pt>
                <c:pt idx="4">
                  <c:v>3</c:v>
                </c:pt>
                <c:pt idx="5">
                  <c:v>3.6666666666666665</c:v>
                </c:pt>
                <c:pt idx="6">
                  <c:v>4.333333333333333</c:v>
                </c:pt>
                <c:pt idx="7">
                  <c:v>4.9999999999999991</c:v>
                </c:pt>
                <c:pt idx="8">
                  <c:v>5.6666666666666661</c:v>
                </c:pt>
                <c:pt idx="9">
                  <c:v>6.333333333333333</c:v>
                </c:pt>
                <c:pt idx="10">
                  <c:v>6.9999999999999991</c:v>
                </c:pt>
                <c:pt idx="11">
                  <c:v>7.6666666666666661</c:v>
                </c:pt>
                <c:pt idx="12">
                  <c:v>8.3333333333333339</c:v>
                </c:pt>
                <c:pt idx="13">
                  <c:v>9</c:v>
                </c:pt>
                <c:pt idx="14">
                  <c:v>9.6666666666666661</c:v>
                </c:pt>
                <c:pt idx="15">
                  <c:v>10.333333333333334</c:v>
                </c:pt>
                <c:pt idx="16">
                  <c:v>11</c:v>
                </c:pt>
                <c:pt idx="17">
                  <c:v>11.666666666666666</c:v>
                </c:pt>
                <c:pt idx="18">
                  <c:v>12.333333333333334</c:v>
                </c:pt>
                <c:pt idx="19">
                  <c:v>13</c:v>
                </c:pt>
                <c:pt idx="20">
                  <c:v>13.666666666666666</c:v>
                </c:pt>
                <c:pt idx="21">
                  <c:v>14.333333333333334</c:v>
                </c:pt>
                <c:pt idx="22">
                  <c:v>15</c:v>
                </c:pt>
                <c:pt idx="23">
                  <c:v>15.666666666666666</c:v>
                </c:pt>
                <c:pt idx="24">
                  <c:v>16.333333333333332</c:v>
                </c:pt>
                <c:pt idx="25">
                  <c:v>16.999999999999996</c:v>
                </c:pt>
                <c:pt idx="26">
                  <c:v>17.666666666666664</c:v>
                </c:pt>
                <c:pt idx="27">
                  <c:v>18.333333333333332</c:v>
                </c:pt>
                <c:pt idx="28">
                  <c:v>18.999999999999996</c:v>
                </c:pt>
                <c:pt idx="29">
                  <c:v>19.666666666666664</c:v>
                </c:pt>
                <c:pt idx="30">
                  <c:v>20.333333333333332</c:v>
                </c:pt>
                <c:pt idx="31">
                  <c:v>20.999999999999996</c:v>
                </c:pt>
                <c:pt idx="32">
                  <c:v>21.666666666666664</c:v>
                </c:pt>
                <c:pt idx="33">
                  <c:v>22.333333333333332</c:v>
                </c:pt>
                <c:pt idx="34">
                  <c:v>22.999999999999996</c:v>
                </c:pt>
                <c:pt idx="35">
                  <c:v>23.666666666666664</c:v>
                </c:pt>
                <c:pt idx="36">
                  <c:v>24.333333333333332</c:v>
                </c:pt>
                <c:pt idx="37">
                  <c:v>24.999999999999996</c:v>
                </c:pt>
                <c:pt idx="38">
                  <c:v>25.666666666666664</c:v>
                </c:pt>
                <c:pt idx="39">
                  <c:v>26.333333333333332</c:v>
                </c:pt>
                <c:pt idx="40">
                  <c:v>26.999999999999996</c:v>
                </c:pt>
                <c:pt idx="41">
                  <c:v>27.666666666666664</c:v>
                </c:pt>
                <c:pt idx="42">
                  <c:v>28.333333333333332</c:v>
                </c:pt>
                <c:pt idx="43">
                  <c:v>28.999999999999996</c:v>
                </c:pt>
                <c:pt idx="44">
                  <c:v>29.666666666666664</c:v>
                </c:pt>
                <c:pt idx="45">
                  <c:v>30.333333333333332</c:v>
                </c:pt>
                <c:pt idx="46">
                  <c:v>30.999999999999996</c:v>
                </c:pt>
                <c:pt idx="47">
                  <c:v>31.666666666666664</c:v>
                </c:pt>
                <c:pt idx="48">
                  <c:v>32.333333333333336</c:v>
                </c:pt>
                <c:pt idx="49">
                  <c:v>33</c:v>
                </c:pt>
                <c:pt idx="50">
                  <c:v>33.666666666666664</c:v>
                </c:pt>
                <c:pt idx="51">
                  <c:v>34.333333333333336</c:v>
                </c:pt>
                <c:pt idx="52">
                  <c:v>35</c:v>
                </c:pt>
                <c:pt idx="53">
                  <c:v>35.666666666666664</c:v>
                </c:pt>
                <c:pt idx="54">
                  <c:v>36.333333333333336</c:v>
                </c:pt>
                <c:pt idx="55">
                  <c:v>37</c:v>
                </c:pt>
                <c:pt idx="56">
                  <c:v>37.666666666666664</c:v>
                </c:pt>
                <c:pt idx="57">
                  <c:v>38.333333333333336</c:v>
                </c:pt>
                <c:pt idx="58">
                  <c:v>39</c:v>
                </c:pt>
                <c:pt idx="59">
                  <c:v>39.666666666666664</c:v>
                </c:pt>
                <c:pt idx="60">
                  <c:v>40.333333333333336</c:v>
                </c:pt>
                <c:pt idx="61">
                  <c:v>41</c:v>
                </c:pt>
                <c:pt idx="62">
                  <c:v>41.666666666666664</c:v>
                </c:pt>
                <c:pt idx="63">
                  <c:v>42.333333333333336</c:v>
                </c:pt>
                <c:pt idx="64">
                  <c:v>43</c:v>
                </c:pt>
                <c:pt idx="65">
                  <c:v>43.666666666666664</c:v>
                </c:pt>
                <c:pt idx="66">
                  <c:v>44.333333333333336</c:v>
                </c:pt>
                <c:pt idx="67">
                  <c:v>45</c:v>
                </c:pt>
                <c:pt idx="68">
                  <c:v>45.666666666666664</c:v>
                </c:pt>
                <c:pt idx="69">
                  <c:v>46.333333333333336</c:v>
                </c:pt>
                <c:pt idx="70">
                  <c:v>47</c:v>
                </c:pt>
                <c:pt idx="71">
                  <c:v>47.666666666666664</c:v>
                </c:pt>
                <c:pt idx="72">
                  <c:v>48.333333333333336</c:v>
                </c:pt>
                <c:pt idx="73">
                  <c:v>49</c:v>
                </c:pt>
                <c:pt idx="74">
                  <c:v>49.666666666666664</c:v>
                </c:pt>
                <c:pt idx="75">
                  <c:v>50.333333333333336</c:v>
                </c:pt>
                <c:pt idx="76">
                  <c:v>51</c:v>
                </c:pt>
                <c:pt idx="77">
                  <c:v>51.666666666666664</c:v>
                </c:pt>
                <c:pt idx="78">
                  <c:v>52.333333333333336</c:v>
                </c:pt>
                <c:pt idx="79">
                  <c:v>53</c:v>
                </c:pt>
                <c:pt idx="80">
                  <c:v>53.666666666666664</c:v>
                </c:pt>
                <c:pt idx="81">
                  <c:v>54.333333333333336</c:v>
                </c:pt>
                <c:pt idx="82">
                  <c:v>55</c:v>
                </c:pt>
                <c:pt idx="83">
                  <c:v>55.666666666666664</c:v>
                </c:pt>
                <c:pt idx="84">
                  <c:v>56.333333333333336</c:v>
                </c:pt>
                <c:pt idx="85">
                  <c:v>57</c:v>
                </c:pt>
                <c:pt idx="86">
                  <c:v>57.666666666666664</c:v>
                </c:pt>
                <c:pt idx="87">
                  <c:v>58.333333333333336</c:v>
                </c:pt>
                <c:pt idx="88">
                  <c:v>59</c:v>
                </c:pt>
                <c:pt idx="89">
                  <c:v>59.666666666666664</c:v>
                </c:pt>
                <c:pt idx="90">
                  <c:v>60.333333333333336</c:v>
                </c:pt>
                <c:pt idx="91">
                  <c:v>61</c:v>
                </c:pt>
                <c:pt idx="92">
                  <c:v>61.666666666666664</c:v>
                </c:pt>
                <c:pt idx="93">
                  <c:v>62.333333333333336</c:v>
                </c:pt>
                <c:pt idx="94">
                  <c:v>63</c:v>
                </c:pt>
                <c:pt idx="95">
                  <c:v>63.666666666666664</c:v>
                </c:pt>
                <c:pt idx="96">
                  <c:v>64.333333333333329</c:v>
                </c:pt>
                <c:pt idx="97">
                  <c:v>64.999999999999986</c:v>
                </c:pt>
                <c:pt idx="98">
                  <c:v>65.666666666666657</c:v>
                </c:pt>
                <c:pt idx="99">
                  <c:v>66.333333333333329</c:v>
                </c:pt>
                <c:pt idx="100">
                  <c:v>66.999999999999986</c:v>
                </c:pt>
                <c:pt idx="101">
                  <c:v>67.666666666666657</c:v>
                </c:pt>
                <c:pt idx="102">
                  <c:v>68.333333333333329</c:v>
                </c:pt>
                <c:pt idx="103">
                  <c:v>68.999999999999986</c:v>
                </c:pt>
                <c:pt idx="104">
                  <c:v>69.666666666666657</c:v>
                </c:pt>
                <c:pt idx="105">
                  <c:v>70.333333333333329</c:v>
                </c:pt>
                <c:pt idx="106">
                  <c:v>70.999999999999986</c:v>
                </c:pt>
                <c:pt idx="107">
                  <c:v>71.666666666666657</c:v>
                </c:pt>
                <c:pt idx="108">
                  <c:v>72.333333333333329</c:v>
                </c:pt>
                <c:pt idx="109">
                  <c:v>72.999999999999986</c:v>
                </c:pt>
                <c:pt idx="110">
                  <c:v>73.666666666666657</c:v>
                </c:pt>
                <c:pt idx="111">
                  <c:v>74.333333333333329</c:v>
                </c:pt>
                <c:pt idx="112">
                  <c:v>74.999999999999986</c:v>
                </c:pt>
                <c:pt idx="113">
                  <c:v>75.666666666666657</c:v>
                </c:pt>
                <c:pt idx="114">
                  <c:v>76.333333333333329</c:v>
                </c:pt>
                <c:pt idx="115">
                  <c:v>76.999999999999986</c:v>
                </c:pt>
                <c:pt idx="116">
                  <c:v>77.666666666666657</c:v>
                </c:pt>
                <c:pt idx="117">
                  <c:v>78.333333333333329</c:v>
                </c:pt>
                <c:pt idx="118">
                  <c:v>78.999999999999986</c:v>
                </c:pt>
                <c:pt idx="119">
                  <c:v>79.666666666666657</c:v>
                </c:pt>
                <c:pt idx="120">
                  <c:v>80.333333333333329</c:v>
                </c:pt>
                <c:pt idx="121">
                  <c:v>80.999999999999986</c:v>
                </c:pt>
                <c:pt idx="122">
                  <c:v>81.666666666666657</c:v>
                </c:pt>
                <c:pt idx="123">
                  <c:v>82.333333333333329</c:v>
                </c:pt>
                <c:pt idx="124">
                  <c:v>82.999999999999986</c:v>
                </c:pt>
                <c:pt idx="125">
                  <c:v>83.666666666666657</c:v>
                </c:pt>
                <c:pt idx="126">
                  <c:v>84.333333333333329</c:v>
                </c:pt>
                <c:pt idx="127">
                  <c:v>84.999999999999986</c:v>
                </c:pt>
                <c:pt idx="128">
                  <c:v>85.666666666666657</c:v>
                </c:pt>
                <c:pt idx="129">
                  <c:v>86.333333333333329</c:v>
                </c:pt>
                <c:pt idx="130">
                  <c:v>86.999999999999986</c:v>
                </c:pt>
                <c:pt idx="131">
                  <c:v>87.666666666666657</c:v>
                </c:pt>
                <c:pt idx="132">
                  <c:v>88.333333333333329</c:v>
                </c:pt>
                <c:pt idx="133">
                  <c:v>88.999999999999986</c:v>
                </c:pt>
                <c:pt idx="134">
                  <c:v>89.666666666666657</c:v>
                </c:pt>
                <c:pt idx="135">
                  <c:v>90.333333333333329</c:v>
                </c:pt>
                <c:pt idx="136">
                  <c:v>90.999999999999986</c:v>
                </c:pt>
                <c:pt idx="137">
                  <c:v>91.666666666666657</c:v>
                </c:pt>
                <c:pt idx="138">
                  <c:v>92.333333333333329</c:v>
                </c:pt>
                <c:pt idx="139">
                  <c:v>92.999999999999986</c:v>
                </c:pt>
                <c:pt idx="140">
                  <c:v>93.666666666666657</c:v>
                </c:pt>
                <c:pt idx="141">
                  <c:v>94.333333333333329</c:v>
                </c:pt>
                <c:pt idx="142">
                  <c:v>94.999999999999986</c:v>
                </c:pt>
                <c:pt idx="143">
                  <c:v>95.666666666666657</c:v>
                </c:pt>
                <c:pt idx="144">
                  <c:v>96.333333333333329</c:v>
                </c:pt>
                <c:pt idx="145">
                  <c:v>96.999999999999986</c:v>
                </c:pt>
                <c:pt idx="146">
                  <c:v>97.666666666666657</c:v>
                </c:pt>
                <c:pt idx="147">
                  <c:v>98.333333333333329</c:v>
                </c:pt>
                <c:pt idx="148">
                  <c:v>98.999999999999986</c:v>
                </c:pt>
                <c:pt idx="149">
                  <c:v>99.666666666666657</c:v>
                </c:pt>
              </c:numCache>
            </c:numRef>
          </c:xVal>
          <c:yVal>
            <c:numRef>
              <c:f>Regression!$N$28:$N$177</c:f>
              <c:numCache>
                <c:formatCode>General</c:formatCode>
                <c:ptCount val="150"/>
                <c:pt idx="0">
                  <c:v>21239</c:v>
                </c:pt>
                <c:pt idx="1">
                  <c:v>28579</c:v>
                </c:pt>
                <c:pt idx="2">
                  <c:v>30265</c:v>
                </c:pt>
                <c:pt idx="3">
                  <c:v>31072</c:v>
                </c:pt>
                <c:pt idx="4">
                  <c:v>31356</c:v>
                </c:pt>
                <c:pt idx="5">
                  <c:v>32390</c:v>
                </c:pt>
                <c:pt idx="6">
                  <c:v>33905</c:v>
                </c:pt>
                <c:pt idx="7">
                  <c:v>35204</c:v>
                </c:pt>
                <c:pt idx="8">
                  <c:v>35744</c:v>
                </c:pt>
                <c:pt idx="9">
                  <c:v>38743</c:v>
                </c:pt>
                <c:pt idx="10">
                  <c:v>39469</c:v>
                </c:pt>
                <c:pt idx="11">
                  <c:v>40291</c:v>
                </c:pt>
                <c:pt idx="12">
                  <c:v>40715</c:v>
                </c:pt>
                <c:pt idx="13">
                  <c:v>41660</c:v>
                </c:pt>
                <c:pt idx="14">
                  <c:v>43037</c:v>
                </c:pt>
                <c:pt idx="15">
                  <c:v>43204</c:v>
                </c:pt>
                <c:pt idx="16">
                  <c:v>43362</c:v>
                </c:pt>
                <c:pt idx="17">
                  <c:v>45054</c:v>
                </c:pt>
                <c:pt idx="18">
                  <c:v>46021</c:v>
                </c:pt>
                <c:pt idx="19">
                  <c:v>46287</c:v>
                </c:pt>
                <c:pt idx="20">
                  <c:v>47819</c:v>
                </c:pt>
                <c:pt idx="21">
                  <c:v>47919</c:v>
                </c:pt>
                <c:pt idx="22">
                  <c:v>48796</c:v>
                </c:pt>
                <c:pt idx="23">
                  <c:v>48859</c:v>
                </c:pt>
                <c:pt idx="24">
                  <c:v>49127</c:v>
                </c:pt>
                <c:pt idx="25">
                  <c:v>51404</c:v>
                </c:pt>
                <c:pt idx="26">
                  <c:v>51919</c:v>
                </c:pt>
                <c:pt idx="27">
                  <c:v>52135</c:v>
                </c:pt>
                <c:pt idx="28">
                  <c:v>52445</c:v>
                </c:pt>
                <c:pt idx="29">
                  <c:v>52978</c:v>
                </c:pt>
                <c:pt idx="30">
                  <c:v>54582</c:v>
                </c:pt>
                <c:pt idx="31">
                  <c:v>55152</c:v>
                </c:pt>
                <c:pt idx="32">
                  <c:v>56473</c:v>
                </c:pt>
                <c:pt idx="33">
                  <c:v>56611</c:v>
                </c:pt>
                <c:pt idx="34">
                  <c:v>56835</c:v>
                </c:pt>
                <c:pt idx="35">
                  <c:v>57140</c:v>
                </c:pt>
                <c:pt idx="36">
                  <c:v>57815</c:v>
                </c:pt>
                <c:pt idx="37">
                  <c:v>59412</c:v>
                </c:pt>
                <c:pt idx="38">
                  <c:v>60445</c:v>
                </c:pt>
                <c:pt idx="39">
                  <c:v>61325</c:v>
                </c:pt>
                <c:pt idx="40">
                  <c:v>61424</c:v>
                </c:pt>
                <c:pt idx="41">
                  <c:v>61939</c:v>
                </c:pt>
                <c:pt idx="42">
                  <c:v>62022</c:v>
                </c:pt>
                <c:pt idx="43">
                  <c:v>62661</c:v>
                </c:pt>
                <c:pt idx="44">
                  <c:v>63808</c:v>
                </c:pt>
                <c:pt idx="45">
                  <c:v>63809</c:v>
                </c:pt>
                <c:pt idx="46">
                  <c:v>64417</c:v>
                </c:pt>
                <c:pt idx="47">
                  <c:v>67363</c:v>
                </c:pt>
                <c:pt idx="48">
                  <c:v>68467</c:v>
                </c:pt>
                <c:pt idx="49">
                  <c:v>68476</c:v>
                </c:pt>
                <c:pt idx="50">
                  <c:v>69299</c:v>
                </c:pt>
                <c:pt idx="51">
                  <c:v>70611</c:v>
                </c:pt>
                <c:pt idx="52">
                  <c:v>71901</c:v>
                </c:pt>
                <c:pt idx="53">
                  <c:v>73066</c:v>
                </c:pt>
                <c:pt idx="54">
                  <c:v>73073</c:v>
                </c:pt>
                <c:pt idx="55">
                  <c:v>74411</c:v>
                </c:pt>
                <c:pt idx="56">
                  <c:v>75208</c:v>
                </c:pt>
                <c:pt idx="57">
                  <c:v>75626</c:v>
                </c:pt>
                <c:pt idx="58">
                  <c:v>75637</c:v>
                </c:pt>
                <c:pt idx="59">
                  <c:v>75638</c:v>
                </c:pt>
                <c:pt idx="60">
                  <c:v>75827</c:v>
                </c:pt>
                <c:pt idx="61">
                  <c:v>77103</c:v>
                </c:pt>
                <c:pt idx="62">
                  <c:v>77404</c:v>
                </c:pt>
                <c:pt idx="63">
                  <c:v>77981</c:v>
                </c:pt>
                <c:pt idx="64">
                  <c:v>78439</c:v>
                </c:pt>
                <c:pt idx="65">
                  <c:v>79903</c:v>
                </c:pt>
                <c:pt idx="66">
                  <c:v>80432</c:v>
                </c:pt>
                <c:pt idx="67">
                  <c:v>81485</c:v>
                </c:pt>
                <c:pt idx="68">
                  <c:v>83006</c:v>
                </c:pt>
                <c:pt idx="69">
                  <c:v>84068</c:v>
                </c:pt>
                <c:pt idx="70">
                  <c:v>85267</c:v>
                </c:pt>
                <c:pt idx="71">
                  <c:v>86679</c:v>
                </c:pt>
                <c:pt idx="72">
                  <c:v>88182</c:v>
                </c:pt>
                <c:pt idx="73">
                  <c:v>88859</c:v>
                </c:pt>
                <c:pt idx="74">
                  <c:v>90398</c:v>
                </c:pt>
                <c:pt idx="75">
                  <c:v>91365</c:v>
                </c:pt>
                <c:pt idx="76">
                  <c:v>92288</c:v>
                </c:pt>
                <c:pt idx="77">
                  <c:v>92427</c:v>
                </c:pt>
                <c:pt idx="78">
                  <c:v>92535</c:v>
                </c:pt>
                <c:pt idx="79">
                  <c:v>93287</c:v>
                </c:pt>
                <c:pt idx="80">
                  <c:v>96380</c:v>
                </c:pt>
                <c:pt idx="81">
                  <c:v>96648</c:v>
                </c:pt>
                <c:pt idx="82">
                  <c:v>99564</c:v>
                </c:pt>
                <c:pt idx="83">
                  <c:v>103466</c:v>
                </c:pt>
                <c:pt idx="84">
                  <c:v>104323</c:v>
                </c:pt>
                <c:pt idx="85">
                  <c:v>105254</c:v>
                </c:pt>
                <c:pt idx="86">
                  <c:v>108822</c:v>
                </c:pt>
                <c:pt idx="87">
                  <c:v>111489</c:v>
                </c:pt>
                <c:pt idx="88">
                  <c:v>113474</c:v>
                </c:pt>
                <c:pt idx="89">
                  <c:v>113919</c:v>
                </c:pt>
                <c:pt idx="90">
                  <c:v>114842</c:v>
                </c:pt>
                <c:pt idx="91">
                  <c:v>116272</c:v>
                </c:pt>
                <c:pt idx="92">
                  <c:v>119680</c:v>
                </c:pt>
                <c:pt idx="93">
                  <c:v>119800</c:v>
                </c:pt>
                <c:pt idx="94">
                  <c:v>119876</c:v>
                </c:pt>
                <c:pt idx="95">
                  <c:v>124162</c:v>
                </c:pt>
                <c:pt idx="96">
                  <c:v>128638</c:v>
                </c:pt>
                <c:pt idx="97">
                  <c:v>129097</c:v>
                </c:pt>
                <c:pt idx="98">
                  <c:v>130187</c:v>
                </c:pt>
                <c:pt idx="99">
                  <c:v>131154</c:v>
                </c:pt>
                <c:pt idx="100">
                  <c:v>135867</c:v>
                </c:pt>
                <c:pt idx="101">
                  <c:v>137500</c:v>
                </c:pt>
                <c:pt idx="102">
                  <c:v>147043</c:v>
                </c:pt>
                <c:pt idx="103">
                  <c:v>147308</c:v>
                </c:pt>
                <c:pt idx="104">
                  <c:v>149392</c:v>
                </c:pt>
                <c:pt idx="105">
                  <c:v>150543</c:v>
                </c:pt>
                <c:pt idx="106">
                  <c:v>154871</c:v>
                </c:pt>
                <c:pt idx="107">
                  <c:v>155158</c:v>
                </c:pt>
                <c:pt idx="108">
                  <c:v>156829</c:v>
                </c:pt>
                <c:pt idx="109">
                  <c:v>165932</c:v>
                </c:pt>
                <c:pt idx="110">
                  <c:v>167260</c:v>
                </c:pt>
                <c:pt idx="111">
                  <c:v>173224</c:v>
                </c:pt>
                <c:pt idx="112">
                  <c:v>173531</c:v>
                </c:pt>
                <c:pt idx="113">
                  <c:v>174089</c:v>
                </c:pt>
                <c:pt idx="114">
                  <c:v>177233</c:v>
                </c:pt>
                <c:pt idx="115">
                  <c:v>187238</c:v>
                </c:pt>
                <c:pt idx="116">
                  <c:v>187289</c:v>
                </c:pt>
                <c:pt idx="117">
                  <c:v>188424</c:v>
                </c:pt>
                <c:pt idx="118">
                  <c:v>192161</c:v>
                </c:pt>
                <c:pt idx="119">
                  <c:v>197153</c:v>
                </c:pt>
                <c:pt idx="120">
                  <c:v>198142</c:v>
                </c:pt>
                <c:pt idx="121">
                  <c:v>204893</c:v>
                </c:pt>
                <c:pt idx="122">
                  <c:v>206309</c:v>
                </c:pt>
                <c:pt idx="123">
                  <c:v>214400</c:v>
                </c:pt>
                <c:pt idx="124">
                  <c:v>218647</c:v>
                </c:pt>
                <c:pt idx="125">
                  <c:v>220242</c:v>
                </c:pt>
                <c:pt idx="126">
                  <c:v>228906</c:v>
                </c:pt>
                <c:pt idx="127">
                  <c:v>233279</c:v>
                </c:pt>
                <c:pt idx="128">
                  <c:v>236254</c:v>
                </c:pt>
                <c:pt idx="129">
                  <c:v>242406</c:v>
                </c:pt>
                <c:pt idx="130">
                  <c:v>244478</c:v>
                </c:pt>
                <c:pt idx="131">
                  <c:v>247592</c:v>
                </c:pt>
                <c:pt idx="132">
                  <c:v>257805</c:v>
                </c:pt>
                <c:pt idx="133">
                  <c:v>266694</c:v>
                </c:pt>
                <c:pt idx="134">
                  <c:v>271669</c:v>
                </c:pt>
                <c:pt idx="135">
                  <c:v>283326</c:v>
                </c:pt>
                <c:pt idx="136">
                  <c:v>291519</c:v>
                </c:pt>
                <c:pt idx="137">
                  <c:v>296182</c:v>
                </c:pt>
                <c:pt idx="138">
                  <c:v>313527</c:v>
                </c:pt>
                <c:pt idx="139">
                  <c:v>319796</c:v>
                </c:pt>
                <c:pt idx="140">
                  <c:v>369356</c:v>
                </c:pt>
                <c:pt idx="141">
                  <c:v>390325</c:v>
                </c:pt>
                <c:pt idx="142">
                  <c:v>398732</c:v>
                </c:pt>
                <c:pt idx="143">
                  <c:v>559140</c:v>
                </c:pt>
                <c:pt idx="144">
                  <c:v>582363</c:v>
                </c:pt>
                <c:pt idx="145">
                  <c:v>699378</c:v>
                </c:pt>
                <c:pt idx="146">
                  <c:v>833299</c:v>
                </c:pt>
                <c:pt idx="147">
                  <c:v>949570</c:v>
                </c:pt>
                <c:pt idx="148">
                  <c:v>1014693</c:v>
                </c:pt>
                <c:pt idx="149">
                  <c:v>1276376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60-4F95-A502-CB8B2CFFB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562480"/>
        <c:axId val="1656563920"/>
      </c:scatterChart>
      <c:valAx>
        <c:axId val="1656562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Sample Percentile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6563920"/>
        <c:crosses val="autoZero"/>
        <c:crossBetween val="midCat"/>
      </c:valAx>
      <c:valAx>
        <c:axId val="16565639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Dependent Variable (Y)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656248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2</xdr:row>
          <xdr:rowOff>104775</xdr:rowOff>
        </xdr:from>
        <xdr:to>
          <xdr:col>6</xdr:col>
          <xdr:colOff>257175</xdr:colOff>
          <xdr:row>5</xdr:row>
          <xdr:rowOff>104775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Initialization of the calculation of the integral index of the state of regional development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0" cy="0"/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E9EE17D6-6D12-40BD-9018-035CD6B1883F}"/>
            </a:ext>
          </a:extLst>
        </xdr:cNvPr>
        <xdr:cNvSpPr/>
      </xdr:nvSpPr>
      <xdr:spPr>
        <a:xfrm>
          <a:off x="3291840" y="388620"/>
          <a:ext cx="0" cy="0"/>
        </a:xfrm>
        <a:custGeom>
          <a:avLst/>
          <a:gdLst>
            <a:gd name="f0" fmla="val 10800000"/>
            <a:gd name="f1" fmla="val 5400000"/>
            <a:gd name="f2" fmla="val 180"/>
            <a:gd name="f3" fmla="val w"/>
            <a:gd name="f4" fmla="val h"/>
            <a:gd name="f5" fmla="val ss"/>
            <a:gd name="f6" fmla="val 0"/>
            <a:gd name="f7" fmla="+- 0 0 -180"/>
            <a:gd name="f8" fmla="+- 0 0 -360"/>
            <a:gd name="f9" fmla="abs f3"/>
            <a:gd name="f10" fmla="abs f4"/>
            <a:gd name="f11" fmla="abs f5"/>
            <a:gd name="f12" fmla="val f6"/>
            <a:gd name="f13" fmla="*/ f7 f0 1"/>
            <a:gd name="f14" fmla="*/ f8 f0 1"/>
            <a:gd name="f15" fmla="?: f9 f3 1"/>
            <a:gd name="f16" fmla="?: f10 f4 1"/>
            <a:gd name="f17" fmla="?: f11 f5 1"/>
            <a:gd name="f18" fmla="*/ f13 1 f2"/>
            <a:gd name="f19" fmla="*/ f14 1 f2"/>
            <a:gd name="f20" fmla="*/ f15 1 21600"/>
            <a:gd name="f21" fmla="*/ f16 1 21600"/>
            <a:gd name="f22" fmla="*/ 21600 f15 1"/>
            <a:gd name="f23" fmla="*/ 21600 f16 1"/>
            <a:gd name="f24" fmla="+- f18 0 f1"/>
            <a:gd name="f25" fmla="+- f19 0 f1"/>
            <a:gd name="f26" fmla="min f21 f20"/>
            <a:gd name="f27" fmla="*/ f22 1 f17"/>
            <a:gd name="f28" fmla="*/ f23 1 f17"/>
            <a:gd name="f29" fmla="val f27"/>
            <a:gd name="f30" fmla="val f28"/>
            <a:gd name="f31" fmla="*/ f6 f26 1"/>
            <a:gd name="f32" fmla="*/ f27 f26 1"/>
            <a:gd name="f33" fmla="*/ f28 f26 1"/>
            <a:gd name="f34" fmla="*/ f12 f26 1"/>
            <a:gd name="f35" fmla="*/ f29 f26 1"/>
            <a:gd name="f36" fmla="*/ f30 f26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  <a:cxn ang="f24">
              <a:pos x="f34" y="f34"/>
            </a:cxn>
            <a:cxn ang="f25">
              <a:pos x="f35" y="f36"/>
            </a:cxn>
          </a:cxnLst>
          <a:rect l="f31" t="f31" r="f32" b="f33"/>
          <a:pathLst>
            <a:path>
              <a:moveTo>
                <a:pt x="f34" y="f34"/>
              </a:moveTo>
              <a:lnTo>
                <a:pt x="f35" y="f36"/>
              </a:lnTo>
            </a:path>
          </a:pathLst>
        </a:custGeom>
        <a:noFill/>
        <a:ln w="9528" cap="flat">
          <a:solidFill>
            <a:srgbClr val="000000"/>
          </a:solidFill>
          <a:prstDash val="solid"/>
          <a:round/>
        </a:ln>
      </xdr:spPr>
      <xdr:txBody>
        <a:bodyPr lIns="0" tIns="0" rIns="0" bIns="0"/>
        <a:lstStyle/>
        <a:p>
          <a:endParaRPr lang="en-US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0" cy="0"/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92F1F766-F54A-4883-B491-C7157455C470}"/>
            </a:ext>
          </a:extLst>
        </xdr:cNvPr>
        <xdr:cNvSpPr/>
      </xdr:nvSpPr>
      <xdr:spPr>
        <a:xfrm>
          <a:off x="3209925" y="428625"/>
          <a:ext cx="0" cy="0"/>
        </a:xfrm>
        <a:custGeom>
          <a:avLst/>
          <a:gdLst>
            <a:gd name="f0" fmla="val 10800000"/>
            <a:gd name="f1" fmla="val 5400000"/>
            <a:gd name="f2" fmla="val 180"/>
            <a:gd name="f3" fmla="val w"/>
            <a:gd name="f4" fmla="val h"/>
            <a:gd name="f5" fmla="val ss"/>
            <a:gd name="f6" fmla="val 0"/>
            <a:gd name="f7" fmla="+- 0 0 -180"/>
            <a:gd name="f8" fmla="+- 0 0 -360"/>
            <a:gd name="f9" fmla="abs f3"/>
            <a:gd name="f10" fmla="abs f4"/>
            <a:gd name="f11" fmla="abs f5"/>
            <a:gd name="f12" fmla="val f6"/>
            <a:gd name="f13" fmla="*/ f7 f0 1"/>
            <a:gd name="f14" fmla="*/ f8 f0 1"/>
            <a:gd name="f15" fmla="?: f9 f3 1"/>
            <a:gd name="f16" fmla="?: f10 f4 1"/>
            <a:gd name="f17" fmla="?: f11 f5 1"/>
            <a:gd name="f18" fmla="*/ f13 1 f2"/>
            <a:gd name="f19" fmla="*/ f14 1 f2"/>
            <a:gd name="f20" fmla="*/ f15 1 21600"/>
            <a:gd name="f21" fmla="*/ f16 1 21600"/>
            <a:gd name="f22" fmla="*/ 21600 f15 1"/>
            <a:gd name="f23" fmla="*/ 21600 f16 1"/>
            <a:gd name="f24" fmla="+- f18 0 f1"/>
            <a:gd name="f25" fmla="+- f19 0 f1"/>
            <a:gd name="f26" fmla="min f21 f20"/>
            <a:gd name="f27" fmla="*/ f22 1 f17"/>
            <a:gd name="f28" fmla="*/ f23 1 f17"/>
            <a:gd name="f29" fmla="val f27"/>
            <a:gd name="f30" fmla="val f28"/>
            <a:gd name="f31" fmla="*/ f6 f26 1"/>
            <a:gd name="f32" fmla="*/ f27 f26 1"/>
            <a:gd name="f33" fmla="*/ f28 f26 1"/>
            <a:gd name="f34" fmla="*/ f12 f26 1"/>
            <a:gd name="f35" fmla="*/ f29 f26 1"/>
            <a:gd name="f36" fmla="*/ f30 f26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  <a:cxn ang="f24">
              <a:pos x="f34" y="f34"/>
            </a:cxn>
            <a:cxn ang="f25">
              <a:pos x="f35" y="f36"/>
            </a:cxn>
          </a:cxnLst>
          <a:rect l="f31" t="f31" r="f32" b="f33"/>
          <a:pathLst>
            <a:path>
              <a:moveTo>
                <a:pt x="f34" y="f34"/>
              </a:moveTo>
              <a:lnTo>
                <a:pt x="f35" y="f36"/>
              </a:lnTo>
            </a:path>
          </a:pathLst>
        </a:custGeom>
        <a:noFill/>
        <a:ln w="9528" cap="flat">
          <a:solidFill>
            <a:srgbClr val="000000"/>
          </a:solidFill>
          <a:prstDash val="solid"/>
          <a:round/>
        </a:ln>
      </xdr:spPr>
      <xdr:txBody>
        <a:bodyPr lIns="0" tIns="0" rIns="0" bIns="0"/>
        <a:lstStyle/>
        <a:p>
          <a:endParaRPr lang="en-US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0" cy="0"/>
    <xdr:sp macro="" textlink="">
      <xdr:nvSpPr>
        <xdr:cNvPr id="3" name="Line 1">
          <a:extLst>
            <a:ext uri="{FF2B5EF4-FFF2-40B4-BE49-F238E27FC236}">
              <a16:creationId xmlns:a16="http://schemas.microsoft.com/office/drawing/2014/main" id="{9D2CB91A-45EF-46CA-A7A2-96E7BDBBE887}"/>
            </a:ext>
          </a:extLst>
        </xdr:cNvPr>
        <xdr:cNvSpPr/>
      </xdr:nvSpPr>
      <xdr:spPr>
        <a:xfrm>
          <a:off x="3209925" y="428625"/>
          <a:ext cx="0" cy="0"/>
        </a:xfrm>
        <a:custGeom>
          <a:avLst/>
          <a:gdLst>
            <a:gd name="f0" fmla="val 10800000"/>
            <a:gd name="f1" fmla="val 5400000"/>
            <a:gd name="f2" fmla="val 180"/>
            <a:gd name="f3" fmla="val w"/>
            <a:gd name="f4" fmla="val h"/>
            <a:gd name="f5" fmla="val ss"/>
            <a:gd name="f6" fmla="val 0"/>
            <a:gd name="f7" fmla="+- 0 0 -180"/>
            <a:gd name="f8" fmla="+- 0 0 -360"/>
            <a:gd name="f9" fmla="abs f3"/>
            <a:gd name="f10" fmla="abs f4"/>
            <a:gd name="f11" fmla="abs f5"/>
            <a:gd name="f12" fmla="val f6"/>
            <a:gd name="f13" fmla="*/ f7 f0 1"/>
            <a:gd name="f14" fmla="*/ f8 f0 1"/>
            <a:gd name="f15" fmla="?: f9 f3 1"/>
            <a:gd name="f16" fmla="?: f10 f4 1"/>
            <a:gd name="f17" fmla="?: f11 f5 1"/>
            <a:gd name="f18" fmla="*/ f13 1 f2"/>
            <a:gd name="f19" fmla="*/ f14 1 f2"/>
            <a:gd name="f20" fmla="*/ f15 1 21600"/>
            <a:gd name="f21" fmla="*/ f16 1 21600"/>
            <a:gd name="f22" fmla="*/ 21600 f15 1"/>
            <a:gd name="f23" fmla="*/ 21600 f16 1"/>
            <a:gd name="f24" fmla="+- f18 0 f1"/>
            <a:gd name="f25" fmla="+- f19 0 f1"/>
            <a:gd name="f26" fmla="min f21 f20"/>
            <a:gd name="f27" fmla="*/ f22 1 f17"/>
            <a:gd name="f28" fmla="*/ f23 1 f17"/>
            <a:gd name="f29" fmla="val f27"/>
            <a:gd name="f30" fmla="val f28"/>
            <a:gd name="f31" fmla="*/ f6 f26 1"/>
            <a:gd name="f32" fmla="*/ f27 f26 1"/>
            <a:gd name="f33" fmla="*/ f28 f26 1"/>
            <a:gd name="f34" fmla="*/ f12 f26 1"/>
            <a:gd name="f35" fmla="*/ f29 f26 1"/>
            <a:gd name="f36" fmla="*/ f30 f26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  <a:cxn ang="f24">
              <a:pos x="f34" y="f34"/>
            </a:cxn>
            <a:cxn ang="f25">
              <a:pos x="f35" y="f36"/>
            </a:cxn>
          </a:cxnLst>
          <a:rect l="f31" t="f31" r="f32" b="f33"/>
          <a:pathLst>
            <a:path>
              <a:moveTo>
                <a:pt x="f34" y="f34"/>
              </a:moveTo>
              <a:lnTo>
                <a:pt x="f35" y="f36"/>
              </a:lnTo>
            </a:path>
          </a:pathLst>
        </a:custGeom>
        <a:noFill/>
        <a:ln w="9528" cap="flat">
          <a:solidFill>
            <a:srgbClr val="000000"/>
          </a:solidFill>
          <a:prstDash val="solid"/>
          <a:round/>
        </a:ln>
      </xdr:spPr>
      <xdr:txBody>
        <a:bodyPr lIns="0" tIns="0" rIns="0" bIns="0"/>
        <a:lstStyle/>
        <a:p>
          <a:endParaRPr lang="en-US"/>
        </a:p>
      </xdr:txBody>
    </xdr:sp>
    <xdr:clientData/>
  </xdr:oneCellAnchor>
  <xdr:oneCellAnchor>
    <xdr:from>
      <xdr:col>3</xdr:col>
      <xdr:colOff>0</xdr:colOff>
      <xdr:row>1</xdr:row>
      <xdr:rowOff>0</xdr:rowOff>
    </xdr:from>
    <xdr:ext cx="0" cy="0"/>
    <xdr:sp macro="" textlink="">
      <xdr:nvSpPr>
        <xdr:cNvPr id="4" name="Line 1">
          <a:extLst>
            <a:ext uri="{FF2B5EF4-FFF2-40B4-BE49-F238E27FC236}">
              <a16:creationId xmlns:a16="http://schemas.microsoft.com/office/drawing/2014/main" id="{FF996619-8E59-4C83-8CFF-914F9FE5F723}"/>
            </a:ext>
          </a:extLst>
        </xdr:cNvPr>
        <xdr:cNvSpPr/>
      </xdr:nvSpPr>
      <xdr:spPr>
        <a:xfrm>
          <a:off x="3209925" y="428625"/>
          <a:ext cx="0" cy="0"/>
        </a:xfrm>
        <a:custGeom>
          <a:avLst/>
          <a:gdLst>
            <a:gd name="f0" fmla="val 10800000"/>
            <a:gd name="f1" fmla="val 5400000"/>
            <a:gd name="f2" fmla="val 180"/>
            <a:gd name="f3" fmla="val w"/>
            <a:gd name="f4" fmla="val h"/>
            <a:gd name="f5" fmla="val ss"/>
            <a:gd name="f6" fmla="val 0"/>
            <a:gd name="f7" fmla="+- 0 0 -180"/>
            <a:gd name="f8" fmla="+- 0 0 -360"/>
            <a:gd name="f9" fmla="abs f3"/>
            <a:gd name="f10" fmla="abs f4"/>
            <a:gd name="f11" fmla="abs f5"/>
            <a:gd name="f12" fmla="val f6"/>
            <a:gd name="f13" fmla="*/ f7 f0 1"/>
            <a:gd name="f14" fmla="*/ f8 f0 1"/>
            <a:gd name="f15" fmla="?: f9 f3 1"/>
            <a:gd name="f16" fmla="?: f10 f4 1"/>
            <a:gd name="f17" fmla="?: f11 f5 1"/>
            <a:gd name="f18" fmla="*/ f13 1 f2"/>
            <a:gd name="f19" fmla="*/ f14 1 f2"/>
            <a:gd name="f20" fmla="*/ f15 1 21600"/>
            <a:gd name="f21" fmla="*/ f16 1 21600"/>
            <a:gd name="f22" fmla="*/ 21600 f15 1"/>
            <a:gd name="f23" fmla="*/ 21600 f16 1"/>
            <a:gd name="f24" fmla="+- f18 0 f1"/>
            <a:gd name="f25" fmla="+- f19 0 f1"/>
            <a:gd name="f26" fmla="min f21 f20"/>
            <a:gd name="f27" fmla="*/ f22 1 f17"/>
            <a:gd name="f28" fmla="*/ f23 1 f17"/>
            <a:gd name="f29" fmla="val f27"/>
            <a:gd name="f30" fmla="val f28"/>
            <a:gd name="f31" fmla="*/ f6 f26 1"/>
            <a:gd name="f32" fmla="*/ f27 f26 1"/>
            <a:gd name="f33" fmla="*/ f28 f26 1"/>
            <a:gd name="f34" fmla="*/ f12 f26 1"/>
            <a:gd name="f35" fmla="*/ f29 f26 1"/>
            <a:gd name="f36" fmla="*/ f30 f26 1"/>
          </a:gdLst>
          <a:ahLst/>
          <a:cxnLst>
            <a:cxn ang="3cd4">
              <a:pos x="hc" y="t"/>
            </a:cxn>
            <a:cxn ang="0">
              <a:pos x="r" y="vc"/>
            </a:cxn>
            <a:cxn ang="cd4">
              <a:pos x="hc" y="b"/>
            </a:cxn>
            <a:cxn ang="cd2">
              <a:pos x="l" y="vc"/>
            </a:cxn>
            <a:cxn ang="f24">
              <a:pos x="f34" y="f34"/>
            </a:cxn>
            <a:cxn ang="f25">
              <a:pos x="f35" y="f36"/>
            </a:cxn>
          </a:cxnLst>
          <a:rect l="f31" t="f31" r="f32" b="f33"/>
          <a:pathLst>
            <a:path>
              <a:moveTo>
                <a:pt x="f34" y="f34"/>
              </a:moveTo>
              <a:lnTo>
                <a:pt x="f35" y="f36"/>
              </a:lnTo>
            </a:path>
          </a:pathLst>
        </a:custGeom>
        <a:noFill/>
        <a:ln w="9528" cap="flat">
          <a:solidFill>
            <a:srgbClr val="000000"/>
          </a:solidFill>
          <a:prstDash val="solid"/>
          <a:round/>
        </a:ln>
      </xdr:spPr>
      <xdr:txBody>
        <a:bodyPr lIns="0" tIns="0" rIns="0" bIns="0"/>
        <a:lstStyle/>
        <a:p>
          <a:endParaRPr lang="en-US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596900</xdr:colOff>
      <xdr:row>3</xdr:row>
      <xdr:rowOff>63500</xdr:rowOff>
    </xdr:from>
    <xdr:to>
      <xdr:col>17</xdr:col>
      <xdr:colOff>190500</xdr:colOff>
      <xdr:row>23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A3AED2-9868-4249-3755-97D8377800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241300</xdr:colOff>
      <xdr:row>3</xdr:row>
      <xdr:rowOff>63500</xdr:rowOff>
    </xdr:from>
    <xdr:to>
      <xdr:col>27</xdr:col>
      <xdr:colOff>444500</xdr:colOff>
      <xdr:row>23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972835B-F29F-912A-5220-411ABF1530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635000</xdr:colOff>
      <xdr:row>27</xdr:row>
      <xdr:rowOff>0</xdr:rowOff>
    </xdr:from>
    <xdr:to>
      <xdr:col>12</xdr:col>
      <xdr:colOff>63500</xdr:colOff>
      <xdr:row>53</xdr:row>
      <xdr:rowOff>127000</xdr:rowOff>
    </xdr:to>
    <xdr:graphicFrame macro="">
      <xdr:nvGraphicFramePr>
        <xdr:cNvPr id="4" name="ClusterBubbleScatterPlot">
          <a:extLst>
            <a:ext uri="{FF2B5EF4-FFF2-40B4-BE49-F238E27FC236}">
              <a16:creationId xmlns:a16="http://schemas.microsoft.com/office/drawing/2014/main" id="{A1D92661-75E2-1A19-9605-4110A1AF6C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238125</xdr:colOff>
      <xdr:row>0</xdr:row>
      <xdr:rowOff>180975</xdr:rowOff>
    </xdr:from>
    <xdr:to>
      <xdr:col>20</xdr:col>
      <xdr:colOff>238125</xdr:colOff>
      <xdr:row>10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56294A-97A9-B8D3-A7E0-087D8A84FF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2</xdr:row>
      <xdr:rowOff>180975</xdr:rowOff>
    </xdr:from>
    <xdr:to>
      <xdr:col>21</xdr:col>
      <xdr:colOff>238125</xdr:colOff>
      <xdr:row>12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EE6007A-C2FC-C3B9-6DD6-14F598D46D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238125</xdr:colOff>
      <xdr:row>4</xdr:row>
      <xdr:rowOff>180975</xdr:rowOff>
    </xdr:from>
    <xdr:to>
      <xdr:col>22</xdr:col>
      <xdr:colOff>238125</xdr:colOff>
      <xdr:row>14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4AC4173-CFFA-6B73-5220-1CE4F62A06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238125</xdr:colOff>
      <xdr:row>6</xdr:row>
      <xdr:rowOff>180975</xdr:rowOff>
    </xdr:from>
    <xdr:to>
      <xdr:col>23</xdr:col>
      <xdr:colOff>238125</xdr:colOff>
      <xdr:row>16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46D8C3-1558-4EFB-5B8F-8D398E69D2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238125</xdr:colOff>
      <xdr:row>8</xdr:row>
      <xdr:rowOff>180975</xdr:rowOff>
    </xdr:from>
    <xdr:to>
      <xdr:col>24</xdr:col>
      <xdr:colOff>238125</xdr:colOff>
      <xdr:row>18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2CB4511-CCD4-23A3-846C-E57920F8EA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238125</xdr:colOff>
      <xdr:row>10</xdr:row>
      <xdr:rowOff>180975</xdr:rowOff>
    </xdr:from>
    <xdr:to>
      <xdr:col>25</xdr:col>
      <xdr:colOff>238125</xdr:colOff>
      <xdr:row>20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C8DCE29-6FEE-88E3-5482-64FB84BD28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238125</xdr:colOff>
      <xdr:row>12</xdr:row>
      <xdr:rowOff>180975</xdr:rowOff>
    </xdr:from>
    <xdr:to>
      <xdr:col>26</xdr:col>
      <xdr:colOff>238125</xdr:colOff>
      <xdr:row>22</xdr:row>
      <xdr:rowOff>180975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8896B91-5D9E-940B-889F-E8C2275C81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238125</xdr:colOff>
      <xdr:row>14</xdr:row>
      <xdr:rowOff>180975</xdr:rowOff>
    </xdr:from>
    <xdr:to>
      <xdr:col>27</xdr:col>
      <xdr:colOff>238125</xdr:colOff>
      <xdr:row>24</xdr:row>
      <xdr:rowOff>180975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4FDCEFB-322B-73A4-7D6E-912AE32B01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238125</xdr:colOff>
      <xdr:row>16</xdr:row>
      <xdr:rowOff>180975</xdr:rowOff>
    </xdr:from>
    <xdr:to>
      <xdr:col>28</xdr:col>
      <xdr:colOff>238125</xdr:colOff>
      <xdr:row>26</xdr:row>
      <xdr:rowOff>180975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968DC0F-7A80-A664-53DE-82581A3561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17B6B-3818-42B6-8C8D-AE050F9437EC}">
  <sheetPr codeName="Sheet36"/>
  <dimension ref="A1"/>
  <sheetViews>
    <sheetView tabSelected="1" zoomScale="178" zoomScaleNormal="178" workbookViewId="0">
      <selection activeCell="A3" sqref="A3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ShowUserForm">
                <anchor moveWithCells="1" sizeWithCells="1">
                  <from>
                    <xdr:col>1</xdr:col>
                    <xdr:colOff>438150</xdr:colOff>
                    <xdr:row>2</xdr:row>
                    <xdr:rowOff>104775</xdr:rowOff>
                  </from>
                  <to>
                    <xdr:col>6</xdr:col>
                    <xdr:colOff>257175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60047-820A-49FC-8D47-8B4D19FEB405}">
  <sheetPr codeName="Sheet2"/>
  <dimension ref="A1:G221"/>
  <sheetViews>
    <sheetView workbookViewId="0">
      <selection activeCell="H3" sqref="H3"/>
    </sheetView>
  </sheetViews>
  <sheetFormatPr defaultRowHeight="15" x14ac:dyDescent="0.25"/>
  <cols>
    <col min="1" max="1" width="22.28515625" customWidth="1"/>
    <col min="3" max="3" width="16.7109375" style="11" customWidth="1"/>
    <col min="4" max="4" width="14.140625" style="11" customWidth="1"/>
    <col min="5" max="5" width="16" style="11" customWidth="1"/>
    <col min="6" max="6" width="13.42578125" style="11" customWidth="1"/>
    <col min="7" max="7" width="14.7109375" style="11" customWidth="1"/>
  </cols>
  <sheetData>
    <row r="1" spans="1:7" ht="33.75" x14ac:dyDescent="0.25">
      <c r="A1" s="1" t="s">
        <v>0</v>
      </c>
      <c r="B1" s="2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</row>
    <row r="2" spans="1:7" x14ac:dyDescent="0.25">
      <c r="A2" s="5" t="s">
        <v>7</v>
      </c>
      <c r="B2" s="6">
        <v>2020</v>
      </c>
      <c r="C2" s="7">
        <v>135867</v>
      </c>
      <c r="D2" s="8">
        <v>70939</v>
      </c>
      <c r="E2" s="8">
        <v>1378</v>
      </c>
      <c r="F2" s="10">
        <v>9862</v>
      </c>
      <c r="G2" s="8">
        <v>2810</v>
      </c>
    </row>
    <row r="3" spans="1:7" x14ac:dyDescent="0.25">
      <c r="A3" s="5" t="s">
        <v>8</v>
      </c>
      <c r="B3" s="6">
        <v>2020</v>
      </c>
      <c r="C3" s="7">
        <v>77404</v>
      </c>
      <c r="D3" s="8">
        <v>57973</v>
      </c>
      <c r="E3" s="8">
        <v>643</v>
      </c>
      <c r="F3" s="10">
        <v>6047</v>
      </c>
      <c r="G3" s="8">
        <v>2721</v>
      </c>
    </row>
    <row r="4" spans="1:7" x14ac:dyDescent="0.25">
      <c r="A4" s="5" t="s">
        <v>9</v>
      </c>
      <c r="B4" s="6">
        <v>2020</v>
      </c>
      <c r="C4" s="7">
        <v>398732</v>
      </c>
      <c r="D4" s="8">
        <v>94804</v>
      </c>
      <c r="E4" s="8">
        <v>7592</v>
      </c>
      <c r="F4" s="9">
        <v>30827</v>
      </c>
      <c r="G4" s="8">
        <v>3641</v>
      </c>
    </row>
    <row r="5" spans="1:7" x14ac:dyDescent="0.25">
      <c r="A5" s="5" t="s">
        <v>10</v>
      </c>
      <c r="B5" s="6">
        <v>2020</v>
      </c>
      <c r="C5" s="7">
        <v>206309</v>
      </c>
      <c r="D5" s="8">
        <v>42219</v>
      </c>
      <c r="E5" s="8">
        <v>3935</v>
      </c>
      <c r="F5" s="10">
        <v>9473</v>
      </c>
      <c r="G5" s="8">
        <v>3858</v>
      </c>
    </row>
    <row r="6" spans="1:7" x14ac:dyDescent="0.25">
      <c r="A6" s="5" t="s">
        <v>11</v>
      </c>
      <c r="B6" s="6">
        <v>2020</v>
      </c>
      <c r="C6" s="7">
        <v>91365</v>
      </c>
      <c r="D6" s="8">
        <v>66651</v>
      </c>
      <c r="E6" s="8">
        <v>681</v>
      </c>
      <c r="F6" s="10">
        <v>7060</v>
      </c>
      <c r="G6" s="8">
        <v>2763</v>
      </c>
    </row>
    <row r="7" spans="1:7" x14ac:dyDescent="0.25">
      <c r="A7" s="5" t="s">
        <v>12</v>
      </c>
      <c r="B7" s="6">
        <v>2020</v>
      </c>
      <c r="C7" s="7">
        <v>62022</v>
      </c>
      <c r="D7" s="8">
        <v>52379</v>
      </c>
      <c r="E7" s="8">
        <v>1350</v>
      </c>
      <c r="F7" s="10">
        <v>6655</v>
      </c>
      <c r="G7" s="8">
        <v>2744</v>
      </c>
    </row>
    <row r="8" spans="1:7" x14ac:dyDescent="0.25">
      <c r="A8" s="5" t="s">
        <v>13</v>
      </c>
      <c r="B8" s="6">
        <v>2020</v>
      </c>
      <c r="C8" s="7">
        <v>167260</v>
      </c>
      <c r="D8" s="8">
        <v>83309</v>
      </c>
      <c r="E8" s="8">
        <v>2923</v>
      </c>
      <c r="F8" s="9">
        <v>15368</v>
      </c>
      <c r="G8" s="8">
        <v>3432</v>
      </c>
    </row>
    <row r="9" spans="1:7" x14ac:dyDescent="0.25">
      <c r="A9" s="5" t="s">
        <v>14</v>
      </c>
      <c r="B9" s="6">
        <v>2020</v>
      </c>
      <c r="C9" s="7">
        <v>90398</v>
      </c>
      <c r="D9" s="8">
        <v>61088</v>
      </c>
      <c r="E9" s="8">
        <v>758</v>
      </c>
      <c r="F9" s="10">
        <v>8124</v>
      </c>
      <c r="G9" s="8">
        <v>2875</v>
      </c>
    </row>
    <row r="10" spans="1:7" x14ac:dyDescent="0.25">
      <c r="A10" s="5" t="s">
        <v>15</v>
      </c>
      <c r="B10" s="6">
        <v>2020</v>
      </c>
      <c r="C10" s="7">
        <v>242406</v>
      </c>
      <c r="D10" s="8">
        <v>80274</v>
      </c>
      <c r="E10" s="8">
        <v>1968</v>
      </c>
      <c r="F10" s="10">
        <v>20320</v>
      </c>
      <c r="G10" s="8">
        <v>3489</v>
      </c>
    </row>
    <row r="11" spans="1:7" x14ac:dyDescent="0.25">
      <c r="A11" s="5" t="s">
        <v>16</v>
      </c>
      <c r="B11" s="6">
        <v>2020</v>
      </c>
      <c r="C11" s="7">
        <v>75208</v>
      </c>
      <c r="D11" s="8">
        <v>64510</v>
      </c>
      <c r="E11" s="8">
        <v>913</v>
      </c>
      <c r="F11" s="10">
        <v>8553</v>
      </c>
      <c r="G11" s="8">
        <v>2789</v>
      </c>
    </row>
    <row r="12" spans="1:7" x14ac:dyDescent="0.25">
      <c r="A12" s="5" t="s">
        <v>17</v>
      </c>
      <c r="B12" s="6">
        <v>2020</v>
      </c>
      <c r="C12" s="7">
        <v>43204</v>
      </c>
      <c r="D12" s="8">
        <v>27274</v>
      </c>
      <c r="E12" s="8">
        <v>130</v>
      </c>
      <c r="F12" s="9">
        <v>3408</v>
      </c>
      <c r="G12" s="8">
        <v>3377</v>
      </c>
    </row>
    <row r="13" spans="1:7" x14ac:dyDescent="0.25">
      <c r="A13" s="5" t="s">
        <v>18</v>
      </c>
      <c r="B13" s="6">
        <v>2020</v>
      </c>
      <c r="C13" s="7">
        <v>236254</v>
      </c>
      <c r="D13" s="8">
        <v>73092</v>
      </c>
      <c r="E13" s="8">
        <v>2323</v>
      </c>
      <c r="F13" s="10">
        <v>20911</v>
      </c>
      <c r="G13" s="8">
        <v>2961</v>
      </c>
    </row>
    <row r="14" spans="1:7" x14ac:dyDescent="0.25">
      <c r="A14" s="5" t="s">
        <v>19</v>
      </c>
      <c r="B14" s="6">
        <v>2020</v>
      </c>
      <c r="C14" s="7">
        <v>96648</v>
      </c>
      <c r="D14" s="8">
        <v>69884</v>
      </c>
      <c r="E14" s="8">
        <v>2249</v>
      </c>
      <c r="F14" s="10">
        <v>11482</v>
      </c>
      <c r="G14" s="8">
        <v>3344</v>
      </c>
    </row>
    <row r="15" spans="1:7" x14ac:dyDescent="0.25">
      <c r="A15" s="5" t="s">
        <v>20</v>
      </c>
      <c r="B15" s="6">
        <v>2020</v>
      </c>
      <c r="C15" s="7">
        <v>220242</v>
      </c>
      <c r="D15" s="8">
        <v>82007</v>
      </c>
      <c r="E15" s="8">
        <v>1360</v>
      </c>
      <c r="F15" s="10">
        <v>25465</v>
      </c>
      <c r="G15" s="8">
        <v>3129</v>
      </c>
    </row>
    <row r="16" spans="1:7" x14ac:dyDescent="0.25">
      <c r="A16" s="5" t="s">
        <v>21</v>
      </c>
      <c r="B16" s="6">
        <v>2020</v>
      </c>
      <c r="C16" s="7">
        <v>188424</v>
      </c>
      <c r="D16" s="8">
        <v>78813</v>
      </c>
      <c r="E16" s="8">
        <v>2317</v>
      </c>
      <c r="F16" s="9">
        <v>11104</v>
      </c>
      <c r="G16" s="8">
        <v>3179</v>
      </c>
    </row>
    <row r="17" spans="1:7" x14ac:dyDescent="0.25">
      <c r="A17" s="5" t="s">
        <v>22</v>
      </c>
      <c r="B17" s="6">
        <v>2020</v>
      </c>
      <c r="C17" s="7">
        <v>71901</v>
      </c>
      <c r="D17" s="8">
        <v>59350</v>
      </c>
      <c r="E17" s="8">
        <v>469</v>
      </c>
      <c r="F17" s="10">
        <v>6021</v>
      </c>
      <c r="G17" s="8">
        <v>3033</v>
      </c>
    </row>
    <row r="18" spans="1:7" x14ac:dyDescent="0.25">
      <c r="A18" s="5" t="s">
        <v>23</v>
      </c>
      <c r="B18" s="6">
        <v>2020</v>
      </c>
      <c r="C18" s="7">
        <v>80432</v>
      </c>
      <c r="D18" s="8">
        <v>71955</v>
      </c>
      <c r="E18" s="8">
        <v>974</v>
      </c>
      <c r="F18" s="10">
        <v>6096</v>
      </c>
      <c r="G18" s="8">
        <v>2877</v>
      </c>
    </row>
    <row r="19" spans="1:7" x14ac:dyDescent="0.25">
      <c r="A19" s="5" t="s">
        <v>24</v>
      </c>
      <c r="B19" s="6">
        <v>2020</v>
      </c>
      <c r="C19" s="7">
        <v>62661</v>
      </c>
      <c r="D19" s="8">
        <v>55776</v>
      </c>
      <c r="E19" s="8">
        <v>448</v>
      </c>
      <c r="F19" s="10">
        <v>5135</v>
      </c>
      <c r="G19" s="8">
        <v>2527</v>
      </c>
    </row>
    <row r="20" spans="1:7" x14ac:dyDescent="0.25">
      <c r="A20" s="5" t="s">
        <v>25</v>
      </c>
      <c r="B20" s="6">
        <v>2020</v>
      </c>
      <c r="C20" s="7">
        <v>257805</v>
      </c>
      <c r="D20" s="8">
        <v>75923</v>
      </c>
      <c r="E20" s="8">
        <v>1471</v>
      </c>
      <c r="F20" s="9">
        <v>25144</v>
      </c>
      <c r="G20" s="8">
        <v>3143</v>
      </c>
    </row>
    <row r="21" spans="1:7" x14ac:dyDescent="0.25">
      <c r="A21" s="5" t="s">
        <v>26</v>
      </c>
      <c r="B21" s="6">
        <v>2020</v>
      </c>
      <c r="C21" s="7">
        <v>68467</v>
      </c>
      <c r="D21" s="8">
        <v>63853</v>
      </c>
      <c r="E21" s="8">
        <v>281</v>
      </c>
      <c r="F21" s="10">
        <v>8116</v>
      </c>
      <c r="G21" s="8">
        <v>2617</v>
      </c>
    </row>
    <row r="22" spans="1:7" x14ac:dyDescent="0.25">
      <c r="A22" s="5" t="s">
        <v>27</v>
      </c>
      <c r="B22" s="6">
        <v>2020</v>
      </c>
      <c r="C22" s="7">
        <v>96380</v>
      </c>
      <c r="D22" s="8">
        <v>65411</v>
      </c>
      <c r="E22" s="8">
        <v>663</v>
      </c>
      <c r="F22" s="10">
        <v>7654</v>
      </c>
      <c r="G22" s="8">
        <v>2878</v>
      </c>
    </row>
    <row r="23" spans="1:7" x14ac:dyDescent="0.25">
      <c r="A23" s="5" t="s">
        <v>28</v>
      </c>
      <c r="B23" s="6">
        <v>2020</v>
      </c>
      <c r="C23" s="7">
        <v>108822</v>
      </c>
      <c r="D23" s="8">
        <v>64852</v>
      </c>
      <c r="E23" s="8">
        <v>811</v>
      </c>
      <c r="F23" s="10">
        <v>9286</v>
      </c>
      <c r="G23" s="8">
        <v>2829</v>
      </c>
    </row>
    <row r="24" spans="1:7" x14ac:dyDescent="0.25">
      <c r="A24" s="5" t="s">
        <v>29</v>
      </c>
      <c r="B24" s="6">
        <v>2020</v>
      </c>
      <c r="C24" s="7">
        <v>45054</v>
      </c>
      <c r="D24" s="8">
        <v>54178</v>
      </c>
      <c r="E24" s="8">
        <v>168</v>
      </c>
      <c r="F24" s="9">
        <v>4205</v>
      </c>
      <c r="G24" s="8">
        <v>2578</v>
      </c>
    </row>
    <row r="25" spans="1:7" x14ac:dyDescent="0.25">
      <c r="A25" s="5" t="s">
        <v>30</v>
      </c>
      <c r="B25" s="6">
        <v>2020</v>
      </c>
      <c r="C25" s="7">
        <v>84068</v>
      </c>
      <c r="D25" s="8">
        <v>65815</v>
      </c>
      <c r="E25" s="8">
        <v>891</v>
      </c>
      <c r="F25" s="10">
        <v>6254</v>
      </c>
      <c r="G25" s="8">
        <v>2690</v>
      </c>
    </row>
    <row r="26" spans="1:7" x14ac:dyDescent="0.25">
      <c r="A26" s="5" t="s">
        <v>31</v>
      </c>
      <c r="B26" s="6">
        <v>2020</v>
      </c>
      <c r="C26" s="7">
        <v>1014693</v>
      </c>
      <c r="D26" s="8">
        <v>182547</v>
      </c>
      <c r="E26" s="8">
        <v>12428</v>
      </c>
      <c r="F26" s="10">
        <v>101252</v>
      </c>
      <c r="G26" s="8">
        <v>5376</v>
      </c>
    </row>
    <row r="27" spans="1:7" x14ac:dyDescent="0.25">
      <c r="A27" s="5" t="s">
        <v>7</v>
      </c>
      <c r="B27" s="6">
        <v>2021</v>
      </c>
      <c r="C27" s="7">
        <v>173531</v>
      </c>
      <c r="D27" s="8">
        <v>81970</v>
      </c>
      <c r="E27" s="8">
        <v>1309</v>
      </c>
      <c r="F27" s="10">
        <v>10050</v>
      </c>
      <c r="G27" s="8">
        <v>3396</v>
      </c>
    </row>
    <row r="28" spans="1:7" x14ac:dyDescent="0.25">
      <c r="A28" s="5" t="s">
        <v>8</v>
      </c>
      <c r="B28" s="6">
        <v>2021</v>
      </c>
      <c r="C28" s="7">
        <v>92535</v>
      </c>
      <c r="D28" s="8">
        <v>65481</v>
      </c>
      <c r="E28" s="8">
        <v>833</v>
      </c>
      <c r="F28" s="10">
        <v>6280</v>
      </c>
      <c r="G28" s="8">
        <v>3291</v>
      </c>
    </row>
    <row r="29" spans="1:7" x14ac:dyDescent="0.25">
      <c r="A29" s="5" t="s">
        <v>9</v>
      </c>
      <c r="B29" s="6">
        <v>2021</v>
      </c>
      <c r="C29" s="7">
        <v>582363</v>
      </c>
      <c r="D29" s="8">
        <v>107671</v>
      </c>
      <c r="E29" s="8">
        <v>12164</v>
      </c>
      <c r="F29" s="9">
        <v>30511</v>
      </c>
      <c r="G29" s="8">
        <v>4366</v>
      </c>
    </row>
    <row r="30" spans="1:7" x14ac:dyDescent="0.25">
      <c r="A30" s="5" t="s">
        <v>10</v>
      </c>
      <c r="B30" s="6">
        <v>2021</v>
      </c>
      <c r="C30" s="7">
        <v>283326</v>
      </c>
      <c r="D30" s="8">
        <v>47604</v>
      </c>
      <c r="E30" s="8">
        <v>7038</v>
      </c>
      <c r="F30" s="10">
        <v>9202</v>
      </c>
      <c r="G30" s="8">
        <v>4980</v>
      </c>
    </row>
    <row r="31" spans="1:7" x14ac:dyDescent="0.25">
      <c r="A31" s="5" t="s">
        <v>11</v>
      </c>
      <c r="B31" s="6">
        <v>2021</v>
      </c>
      <c r="C31" s="7">
        <v>113919</v>
      </c>
      <c r="D31" s="8">
        <v>76107</v>
      </c>
      <c r="E31" s="8">
        <v>772</v>
      </c>
      <c r="F31" s="10">
        <v>7028</v>
      </c>
      <c r="G31" s="8">
        <v>3271</v>
      </c>
    </row>
    <row r="32" spans="1:7" x14ac:dyDescent="0.25">
      <c r="A32" s="5" t="s">
        <v>12</v>
      </c>
      <c r="B32" s="6">
        <v>2021</v>
      </c>
      <c r="C32" s="7">
        <v>75626</v>
      </c>
      <c r="D32" s="8">
        <v>58844</v>
      </c>
      <c r="E32" s="8">
        <v>1685</v>
      </c>
      <c r="F32" s="10">
        <v>6572</v>
      </c>
      <c r="G32" s="8">
        <v>3381</v>
      </c>
    </row>
    <row r="33" spans="1:7" x14ac:dyDescent="0.25">
      <c r="A33" s="5" t="s">
        <v>13</v>
      </c>
      <c r="B33" s="6">
        <v>2021</v>
      </c>
      <c r="C33" s="7">
        <v>228906</v>
      </c>
      <c r="D33" s="8">
        <v>93475</v>
      </c>
      <c r="E33" s="8">
        <v>4741</v>
      </c>
      <c r="F33" s="9">
        <v>15363</v>
      </c>
      <c r="G33" s="8">
        <v>4200</v>
      </c>
    </row>
    <row r="34" spans="1:7" x14ac:dyDescent="0.25">
      <c r="A34" s="5" t="s">
        <v>14</v>
      </c>
      <c r="B34" s="6">
        <v>2021</v>
      </c>
      <c r="C34" s="7">
        <v>119680</v>
      </c>
      <c r="D34" s="8">
        <v>68561</v>
      </c>
      <c r="E34" s="8">
        <v>1165</v>
      </c>
      <c r="F34" s="10">
        <v>7793</v>
      </c>
      <c r="G34" s="8">
        <v>3402</v>
      </c>
    </row>
    <row r="35" spans="1:7" x14ac:dyDescent="0.25">
      <c r="A35" s="5" t="s">
        <v>15</v>
      </c>
      <c r="B35" s="6">
        <v>2021</v>
      </c>
      <c r="C35" s="7">
        <v>291519</v>
      </c>
      <c r="D35" s="8">
        <v>96293</v>
      </c>
      <c r="E35" s="8">
        <v>2551</v>
      </c>
      <c r="F35" s="10">
        <v>20262</v>
      </c>
      <c r="G35" s="8">
        <v>4153</v>
      </c>
    </row>
    <row r="36" spans="1:7" x14ac:dyDescent="0.25">
      <c r="A36" s="5" t="s">
        <v>16</v>
      </c>
      <c r="B36" s="6">
        <v>2021</v>
      </c>
      <c r="C36" s="7">
        <v>99564</v>
      </c>
      <c r="D36" s="8">
        <v>73146</v>
      </c>
      <c r="E36" s="8">
        <v>1022</v>
      </c>
      <c r="F36" s="10">
        <v>8347</v>
      </c>
      <c r="G36" s="8">
        <v>3282</v>
      </c>
    </row>
    <row r="37" spans="1:7" x14ac:dyDescent="0.25">
      <c r="A37" s="5" t="s">
        <v>17</v>
      </c>
      <c r="B37" s="6">
        <v>2021</v>
      </c>
      <c r="C37" s="7">
        <v>52135</v>
      </c>
      <c r="D37" s="8">
        <v>31390</v>
      </c>
      <c r="E37" s="8">
        <v>168</v>
      </c>
      <c r="F37" s="9">
        <v>3356</v>
      </c>
      <c r="G37" s="8">
        <v>3427</v>
      </c>
    </row>
    <row r="38" spans="1:7" x14ac:dyDescent="0.25">
      <c r="A38" s="5" t="s">
        <v>18</v>
      </c>
      <c r="B38" s="6">
        <v>2021</v>
      </c>
      <c r="C38" s="7">
        <v>296182</v>
      </c>
      <c r="D38" s="8">
        <v>85195</v>
      </c>
      <c r="E38" s="8">
        <v>2933</v>
      </c>
      <c r="F38" s="10">
        <v>21186</v>
      </c>
      <c r="G38" s="8">
        <v>3646</v>
      </c>
    </row>
    <row r="39" spans="1:7" x14ac:dyDescent="0.25">
      <c r="A39" s="5" t="s">
        <v>19</v>
      </c>
      <c r="B39" s="6">
        <v>2021</v>
      </c>
      <c r="C39" s="7">
        <v>124162</v>
      </c>
      <c r="D39" s="8">
        <v>81870</v>
      </c>
      <c r="E39" s="8">
        <v>3457</v>
      </c>
      <c r="F39" s="10">
        <v>11481</v>
      </c>
      <c r="G39" s="8">
        <v>3984</v>
      </c>
    </row>
    <row r="40" spans="1:7" x14ac:dyDescent="0.25">
      <c r="A40" s="5" t="s">
        <v>20</v>
      </c>
      <c r="B40" s="6">
        <v>2021</v>
      </c>
      <c r="C40" s="7">
        <v>271669</v>
      </c>
      <c r="D40" s="8">
        <v>93001</v>
      </c>
      <c r="E40" s="8">
        <v>1698</v>
      </c>
      <c r="F40" s="10">
        <v>23962</v>
      </c>
      <c r="G40" s="8">
        <v>3897</v>
      </c>
    </row>
    <row r="41" spans="1:7" x14ac:dyDescent="0.25">
      <c r="A41" s="5" t="s">
        <v>21</v>
      </c>
      <c r="B41" s="6">
        <v>2021</v>
      </c>
      <c r="C41" s="7">
        <v>266694</v>
      </c>
      <c r="D41" s="8">
        <v>92260</v>
      </c>
      <c r="E41" s="8">
        <v>3190</v>
      </c>
      <c r="F41" s="9">
        <v>11254</v>
      </c>
      <c r="G41" s="8">
        <v>3783</v>
      </c>
    </row>
    <row r="42" spans="1:7" x14ac:dyDescent="0.25">
      <c r="A42" s="5" t="s">
        <v>22</v>
      </c>
      <c r="B42" s="6">
        <v>2021</v>
      </c>
      <c r="C42" s="7">
        <v>88859</v>
      </c>
      <c r="D42" s="8">
        <v>67727</v>
      </c>
      <c r="E42" s="8">
        <v>704</v>
      </c>
      <c r="F42" s="10">
        <v>6163</v>
      </c>
      <c r="G42" s="8">
        <v>3573</v>
      </c>
    </row>
    <row r="43" spans="1:7" x14ac:dyDescent="0.25">
      <c r="A43" s="5" t="s">
        <v>23</v>
      </c>
      <c r="B43" s="6">
        <v>2021</v>
      </c>
      <c r="C43" s="7">
        <v>105254</v>
      </c>
      <c r="D43" s="8">
        <v>83307</v>
      </c>
      <c r="E43" s="8">
        <v>1061</v>
      </c>
      <c r="F43" s="10">
        <v>6132</v>
      </c>
      <c r="G43" s="8">
        <v>3449</v>
      </c>
    </row>
    <row r="44" spans="1:7" x14ac:dyDescent="0.25">
      <c r="A44" s="5" t="s">
        <v>24</v>
      </c>
      <c r="B44" s="6">
        <v>2021</v>
      </c>
      <c r="C44" s="7">
        <v>81485</v>
      </c>
      <c r="D44" s="8">
        <v>65084</v>
      </c>
      <c r="E44" s="8">
        <v>679</v>
      </c>
      <c r="F44" s="10">
        <v>5136</v>
      </c>
      <c r="G44" s="8">
        <v>2994</v>
      </c>
    </row>
    <row r="45" spans="1:7" x14ac:dyDescent="0.25">
      <c r="A45" s="5" t="s">
        <v>25</v>
      </c>
      <c r="B45" s="6">
        <v>2021</v>
      </c>
      <c r="C45" s="7">
        <v>319796</v>
      </c>
      <c r="D45" s="8">
        <v>88863</v>
      </c>
      <c r="E45" s="8">
        <v>1801</v>
      </c>
      <c r="F45" s="9">
        <v>25808</v>
      </c>
      <c r="G45" s="8">
        <v>3697</v>
      </c>
    </row>
    <row r="46" spans="1:7" x14ac:dyDescent="0.25">
      <c r="A46" s="5" t="s">
        <v>26</v>
      </c>
      <c r="B46" s="6">
        <v>2021</v>
      </c>
      <c r="C46" s="7">
        <v>88182</v>
      </c>
      <c r="D46" s="8">
        <v>73624</v>
      </c>
      <c r="E46" s="8">
        <v>413</v>
      </c>
      <c r="F46" s="10">
        <v>7811</v>
      </c>
      <c r="G46" s="8">
        <v>3123</v>
      </c>
    </row>
    <row r="47" spans="1:7" x14ac:dyDescent="0.25">
      <c r="A47" s="5" t="s">
        <v>27</v>
      </c>
      <c r="B47" s="6">
        <v>2021</v>
      </c>
      <c r="C47" s="7">
        <v>119876</v>
      </c>
      <c r="D47" s="8">
        <v>75606</v>
      </c>
      <c r="E47" s="8">
        <v>918</v>
      </c>
      <c r="F47" s="10">
        <v>7698</v>
      </c>
      <c r="G47" s="8">
        <v>3371</v>
      </c>
    </row>
    <row r="48" spans="1:7" x14ac:dyDescent="0.25">
      <c r="A48" s="5" t="s">
        <v>28</v>
      </c>
      <c r="B48" s="6">
        <v>2021</v>
      </c>
      <c r="C48" s="7">
        <v>131154</v>
      </c>
      <c r="D48" s="8">
        <v>76673</v>
      </c>
      <c r="E48" s="8">
        <v>884</v>
      </c>
      <c r="F48" s="10">
        <v>9238</v>
      </c>
      <c r="G48" s="8">
        <v>3360</v>
      </c>
    </row>
    <row r="49" spans="1:7" x14ac:dyDescent="0.25">
      <c r="A49" s="5" t="s">
        <v>29</v>
      </c>
      <c r="B49" s="6">
        <v>2021</v>
      </c>
      <c r="C49" s="7">
        <v>54582</v>
      </c>
      <c r="D49" s="8">
        <v>61612</v>
      </c>
      <c r="E49" s="8">
        <v>207</v>
      </c>
      <c r="F49" s="9">
        <v>4090</v>
      </c>
      <c r="G49" s="8">
        <v>3050</v>
      </c>
    </row>
    <row r="50" spans="1:7" x14ac:dyDescent="0.25">
      <c r="A50" s="5" t="s">
        <v>30</v>
      </c>
      <c r="B50" s="6">
        <v>2021</v>
      </c>
      <c r="C50" s="7">
        <v>113474</v>
      </c>
      <c r="D50" s="8">
        <v>73742</v>
      </c>
      <c r="E50" s="8">
        <v>1190</v>
      </c>
      <c r="F50" s="10">
        <v>6192</v>
      </c>
      <c r="G50" s="8">
        <v>3295</v>
      </c>
    </row>
    <row r="51" spans="1:7" x14ac:dyDescent="0.25">
      <c r="A51" s="5" t="s">
        <v>31</v>
      </c>
      <c r="B51" s="6">
        <v>2021</v>
      </c>
      <c r="C51" s="7">
        <v>1276376</v>
      </c>
      <c r="D51" s="8">
        <v>211620</v>
      </c>
      <c r="E51" s="8">
        <v>15331</v>
      </c>
      <c r="F51" s="10">
        <v>99919</v>
      </c>
      <c r="G51" s="8">
        <v>6732</v>
      </c>
    </row>
    <row r="52" spans="1:7" x14ac:dyDescent="0.25">
      <c r="A52" s="5"/>
      <c r="B52" s="6"/>
      <c r="C52" s="7"/>
      <c r="D52" s="8"/>
      <c r="E52" s="8"/>
      <c r="F52" s="9"/>
      <c r="G52" s="8"/>
    </row>
    <row r="53" spans="1:7" x14ac:dyDescent="0.25">
      <c r="G53" s="3"/>
    </row>
    <row r="54" spans="1:7" x14ac:dyDescent="0.25">
      <c r="G54" s="3"/>
    </row>
    <row r="55" spans="1:7" x14ac:dyDescent="0.25">
      <c r="G55" s="8"/>
    </row>
    <row r="56" spans="1:7" x14ac:dyDescent="0.25">
      <c r="G56" s="8"/>
    </row>
    <row r="57" spans="1:7" x14ac:dyDescent="0.25">
      <c r="G57" s="8"/>
    </row>
    <row r="58" spans="1:7" x14ac:dyDescent="0.25">
      <c r="G58" s="8"/>
    </row>
    <row r="59" spans="1:7" x14ac:dyDescent="0.25">
      <c r="G59" s="8"/>
    </row>
    <row r="60" spans="1:7" x14ac:dyDescent="0.25">
      <c r="G60" s="8"/>
    </row>
    <row r="61" spans="1:7" x14ac:dyDescent="0.25">
      <c r="G61" s="8"/>
    </row>
    <row r="62" spans="1:7" x14ac:dyDescent="0.25">
      <c r="G62" s="8"/>
    </row>
    <row r="63" spans="1:7" x14ac:dyDescent="0.25">
      <c r="G63" s="8"/>
    </row>
    <row r="64" spans="1:7" x14ac:dyDescent="0.25">
      <c r="G64" s="8"/>
    </row>
    <row r="65" spans="7:7" x14ac:dyDescent="0.25">
      <c r="G65" s="8"/>
    </row>
    <row r="66" spans="7:7" x14ac:dyDescent="0.25">
      <c r="G66" s="8"/>
    </row>
    <row r="67" spans="7:7" x14ac:dyDescent="0.25">
      <c r="G67" s="8"/>
    </row>
    <row r="68" spans="7:7" x14ac:dyDescent="0.25">
      <c r="G68" s="8"/>
    </row>
    <row r="69" spans="7:7" x14ac:dyDescent="0.25">
      <c r="G69" s="8"/>
    </row>
    <row r="70" spans="7:7" x14ac:dyDescent="0.25">
      <c r="G70" s="8"/>
    </row>
    <row r="71" spans="7:7" x14ac:dyDescent="0.25">
      <c r="G71" s="8"/>
    </row>
    <row r="72" spans="7:7" x14ac:dyDescent="0.25">
      <c r="G72" s="8"/>
    </row>
    <row r="73" spans="7:7" x14ac:dyDescent="0.25">
      <c r="G73" s="8"/>
    </row>
    <row r="74" spans="7:7" x14ac:dyDescent="0.25">
      <c r="G74" s="8"/>
    </row>
    <row r="75" spans="7:7" x14ac:dyDescent="0.25">
      <c r="G75" s="8"/>
    </row>
    <row r="76" spans="7:7" x14ac:dyDescent="0.25">
      <c r="G76" s="8"/>
    </row>
    <row r="77" spans="7:7" x14ac:dyDescent="0.25">
      <c r="G77" s="8"/>
    </row>
    <row r="78" spans="7:7" x14ac:dyDescent="0.25">
      <c r="G78" s="8"/>
    </row>
    <row r="79" spans="7:7" x14ac:dyDescent="0.25">
      <c r="G79" s="8"/>
    </row>
    <row r="80" spans="7:7" x14ac:dyDescent="0.25">
      <c r="G80" s="12"/>
    </row>
    <row r="81" spans="7:7" x14ac:dyDescent="0.25">
      <c r="G81" s="3"/>
    </row>
    <row r="82" spans="7:7" x14ac:dyDescent="0.25">
      <c r="G82" s="8"/>
    </row>
    <row r="83" spans="7:7" x14ac:dyDescent="0.25">
      <c r="G83" s="8"/>
    </row>
    <row r="84" spans="7:7" x14ac:dyDescent="0.25">
      <c r="G84" s="8"/>
    </row>
    <row r="85" spans="7:7" x14ac:dyDescent="0.25">
      <c r="G85" s="8"/>
    </row>
    <row r="86" spans="7:7" x14ac:dyDescent="0.25">
      <c r="G86" s="8"/>
    </row>
    <row r="87" spans="7:7" x14ac:dyDescent="0.25">
      <c r="G87" s="8"/>
    </row>
    <row r="88" spans="7:7" x14ac:dyDescent="0.25">
      <c r="G88" s="8"/>
    </row>
    <row r="89" spans="7:7" x14ac:dyDescent="0.25">
      <c r="G89" s="8"/>
    </row>
    <row r="90" spans="7:7" x14ac:dyDescent="0.25">
      <c r="G90" s="8"/>
    </row>
    <row r="91" spans="7:7" x14ac:dyDescent="0.25">
      <c r="G91" s="8"/>
    </row>
    <row r="92" spans="7:7" x14ac:dyDescent="0.25">
      <c r="G92" s="8"/>
    </row>
    <row r="93" spans="7:7" x14ac:dyDescent="0.25">
      <c r="G93" s="8"/>
    </row>
    <row r="94" spans="7:7" x14ac:dyDescent="0.25">
      <c r="G94" s="8"/>
    </row>
    <row r="95" spans="7:7" x14ac:dyDescent="0.25">
      <c r="G95" s="8"/>
    </row>
    <row r="96" spans="7:7" x14ac:dyDescent="0.25">
      <c r="G96" s="8"/>
    </row>
    <row r="97" spans="7:7" x14ac:dyDescent="0.25">
      <c r="G97" s="8"/>
    </row>
    <row r="98" spans="7:7" x14ac:dyDescent="0.25">
      <c r="G98" s="8"/>
    </row>
    <row r="99" spans="7:7" x14ac:dyDescent="0.25">
      <c r="G99" s="8"/>
    </row>
    <row r="100" spans="7:7" x14ac:dyDescent="0.25">
      <c r="G100" s="8"/>
    </row>
    <row r="101" spans="7:7" x14ac:dyDescent="0.25">
      <c r="G101" s="8"/>
    </row>
    <row r="102" spans="7:7" x14ac:dyDescent="0.25">
      <c r="G102" s="8"/>
    </row>
    <row r="103" spans="7:7" x14ac:dyDescent="0.25">
      <c r="G103" s="8"/>
    </row>
    <row r="104" spans="7:7" x14ac:dyDescent="0.25">
      <c r="G104" s="8"/>
    </row>
    <row r="105" spans="7:7" x14ac:dyDescent="0.25">
      <c r="G105" s="8"/>
    </row>
    <row r="106" spans="7:7" x14ac:dyDescent="0.25">
      <c r="G106" s="8"/>
    </row>
    <row r="107" spans="7:7" x14ac:dyDescent="0.25">
      <c r="G107" s="8"/>
    </row>
    <row r="108" spans="7:7" x14ac:dyDescent="0.25">
      <c r="G108" s="8"/>
    </row>
    <row r="109" spans="7:7" x14ac:dyDescent="0.25">
      <c r="G109" s="3"/>
    </row>
    <row r="110" spans="7:7" x14ac:dyDescent="0.25">
      <c r="G110" s="8"/>
    </row>
    <row r="111" spans="7:7" x14ac:dyDescent="0.25">
      <c r="G111" s="8"/>
    </row>
    <row r="112" spans="7:7" x14ac:dyDescent="0.25">
      <c r="G112" s="8"/>
    </row>
    <row r="113" spans="7:7" x14ac:dyDescent="0.25">
      <c r="G113" s="8"/>
    </row>
    <row r="114" spans="7:7" x14ac:dyDescent="0.25">
      <c r="G114" s="8"/>
    </row>
    <row r="115" spans="7:7" x14ac:dyDescent="0.25">
      <c r="G115" s="8"/>
    </row>
    <row r="116" spans="7:7" x14ac:dyDescent="0.25">
      <c r="G116" s="8"/>
    </row>
    <row r="117" spans="7:7" x14ac:dyDescent="0.25">
      <c r="G117" s="8"/>
    </row>
    <row r="118" spans="7:7" x14ac:dyDescent="0.25">
      <c r="G118" s="8"/>
    </row>
    <row r="119" spans="7:7" x14ac:dyDescent="0.25">
      <c r="G119" s="8"/>
    </row>
    <row r="120" spans="7:7" x14ac:dyDescent="0.25">
      <c r="G120" s="8"/>
    </row>
    <row r="121" spans="7:7" x14ac:dyDescent="0.25">
      <c r="G121" s="8"/>
    </row>
    <row r="122" spans="7:7" x14ac:dyDescent="0.25">
      <c r="G122" s="8"/>
    </row>
    <row r="123" spans="7:7" x14ac:dyDescent="0.25">
      <c r="G123" s="8"/>
    </row>
    <row r="124" spans="7:7" x14ac:dyDescent="0.25">
      <c r="G124" s="8"/>
    </row>
    <row r="125" spans="7:7" x14ac:dyDescent="0.25">
      <c r="G125" s="8"/>
    </row>
    <row r="126" spans="7:7" x14ac:dyDescent="0.25">
      <c r="G126" s="8"/>
    </row>
    <row r="127" spans="7:7" x14ac:dyDescent="0.25">
      <c r="G127" s="8"/>
    </row>
    <row r="128" spans="7:7" x14ac:dyDescent="0.25">
      <c r="G128" s="8"/>
    </row>
    <row r="129" spans="7:7" x14ac:dyDescent="0.25">
      <c r="G129" s="8"/>
    </row>
    <row r="130" spans="7:7" x14ac:dyDescent="0.25">
      <c r="G130" s="8"/>
    </row>
    <row r="131" spans="7:7" x14ac:dyDescent="0.25">
      <c r="G131" s="8"/>
    </row>
    <row r="132" spans="7:7" x14ac:dyDescent="0.25">
      <c r="G132" s="8"/>
    </row>
    <row r="133" spans="7:7" x14ac:dyDescent="0.25">
      <c r="G133" s="8"/>
    </row>
    <row r="134" spans="7:7" x14ac:dyDescent="0.25">
      <c r="G134" s="8"/>
    </row>
    <row r="135" spans="7:7" x14ac:dyDescent="0.25">
      <c r="G135" s="8"/>
    </row>
    <row r="136" spans="7:7" x14ac:dyDescent="0.25">
      <c r="G136" s="8"/>
    </row>
    <row r="137" spans="7:7" x14ac:dyDescent="0.25">
      <c r="G137" s="3"/>
    </row>
    <row r="138" spans="7:7" x14ac:dyDescent="0.25">
      <c r="G138" s="8"/>
    </row>
    <row r="139" spans="7:7" x14ac:dyDescent="0.25">
      <c r="G139" s="8"/>
    </row>
    <row r="140" spans="7:7" x14ac:dyDescent="0.25">
      <c r="G140" s="8"/>
    </row>
    <row r="141" spans="7:7" x14ac:dyDescent="0.25">
      <c r="G141" s="8"/>
    </row>
    <row r="142" spans="7:7" x14ac:dyDescent="0.25">
      <c r="G142" s="8"/>
    </row>
    <row r="143" spans="7:7" x14ac:dyDescent="0.25">
      <c r="G143" s="8"/>
    </row>
    <row r="144" spans="7:7" x14ac:dyDescent="0.25">
      <c r="G144" s="8"/>
    </row>
    <row r="145" spans="7:7" x14ac:dyDescent="0.25">
      <c r="G145" s="8"/>
    </row>
    <row r="146" spans="7:7" x14ac:dyDescent="0.25">
      <c r="G146" s="8"/>
    </row>
    <row r="147" spans="7:7" x14ac:dyDescent="0.25">
      <c r="G147" s="8"/>
    </row>
    <row r="148" spans="7:7" x14ac:dyDescent="0.25">
      <c r="G148" s="8"/>
    </row>
    <row r="149" spans="7:7" x14ac:dyDescent="0.25">
      <c r="G149" s="8"/>
    </row>
    <row r="150" spans="7:7" x14ac:dyDescent="0.25">
      <c r="G150" s="8"/>
    </row>
    <row r="151" spans="7:7" x14ac:dyDescent="0.25">
      <c r="G151" s="8"/>
    </row>
    <row r="152" spans="7:7" x14ac:dyDescent="0.25">
      <c r="G152" s="8"/>
    </row>
    <row r="153" spans="7:7" x14ac:dyDescent="0.25">
      <c r="G153" s="8"/>
    </row>
    <row r="154" spans="7:7" x14ac:dyDescent="0.25">
      <c r="G154" s="8"/>
    </row>
    <row r="155" spans="7:7" x14ac:dyDescent="0.25">
      <c r="G155" s="8"/>
    </row>
    <row r="156" spans="7:7" x14ac:dyDescent="0.25">
      <c r="G156" s="8"/>
    </row>
    <row r="157" spans="7:7" x14ac:dyDescent="0.25">
      <c r="G157" s="8"/>
    </row>
    <row r="158" spans="7:7" x14ac:dyDescent="0.25">
      <c r="G158" s="8"/>
    </row>
    <row r="159" spans="7:7" x14ac:dyDescent="0.25">
      <c r="G159" s="8"/>
    </row>
    <row r="160" spans="7:7" x14ac:dyDescent="0.25">
      <c r="G160" s="8"/>
    </row>
    <row r="161" spans="7:7" x14ac:dyDescent="0.25">
      <c r="G161" s="8"/>
    </row>
    <row r="162" spans="7:7" x14ac:dyDescent="0.25">
      <c r="G162" s="8"/>
    </row>
    <row r="163" spans="7:7" x14ac:dyDescent="0.25">
      <c r="G163" s="8"/>
    </row>
    <row r="164" spans="7:7" x14ac:dyDescent="0.25">
      <c r="G164" s="8"/>
    </row>
    <row r="165" spans="7:7" x14ac:dyDescent="0.25">
      <c r="G165" s="3"/>
    </row>
    <row r="166" spans="7:7" x14ac:dyDescent="0.25">
      <c r="G166" s="8"/>
    </row>
    <row r="167" spans="7:7" x14ac:dyDescent="0.25">
      <c r="G167" s="8"/>
    </row>
    <row r="168" spans="7:7" x14ac:dyDescent="0.25">
      <c r="G168" s="8"/>
    </row>
    <row r="169" spans="7:7" x14ac:dyDescent="0.25">
      <c r="G169" s="8"/>
    </row>
    <row r="170" spans="7:7" x14ac:dyDescent="0.25">
      <c r="G170" s="8"/>
    </row>
    <row r="171" spans="7:7" x14ac:dyDescent="0.25">
      <c r="G171" s="8"/>
    </row>
    <row r="172" spans="7:7" x14ac:dyDescent="0.25">
      <c r="G172" s="8"/>
    </row>
    <row r="173" spans="7:7" x14ac:dyDescent="0.25">
      <c r="G173" s="8"/>
    </row>
    <row r="174" spans="7:7" x14ac:dyDescent="0.25">
      <c r="G174" s="8"/>
    </row>
    <row r="175" spans="7:7" x14ac:dyDescent="0.25">
      <c r="G175" s="8"/>
    </row>
    <row r="176" spans="7:7" x14ac:dyDescent="0.25">
      <c r="G176" s="8"/>
    </row>
    <row r="177" spans="7:7" x14ac:dyDescent="0.25">
      <c r="G177" s="8"/>
    </row>
    <row r="178" spans="7:7" x14ac:dyDescent="0.25">
      <c r="G178" s="8"/>
    </row>
    <row r="179" spans="7:7" x14ac:dyDescent="0.25">
      <c r="G179" s="8"/>
    </row>
    <row r="180" spans="7:7" x14ac:dyDescent="0.25">
      <c r="G180" s="8"/>
    </row>
    <row r="181" spans="7:7" x14ac:dyDescent="0.25">
      <c r="G181" s="8"/>
    </row>
    <row r="182" spans="7:7" x14ac:dyDescent="0.25">
      <c r="G182" s="8"/>
    </row>
    <row r="183" spans="7:7" x14ac:dyDescent="0.25">
      <c r="G183" s="8"/>
    </row>
    <row r="184" spans="7:7" x14ac:dyDescent="0.25">
      <c r="G184" s="8"/>
    </row>
    <row r="185" spans="7:7" x14ac:dyDescent="0.25">
      <c r="G185" s="8"/>
    </row>
    <row r="186" spans="7:7" x14ac:dyDescent="0.25">
      <c r="G186" s="8"/>
    </row>
    <row r="187" spans="7:7" x14ac:dyDescent="0.25">
      <c r="G187" s="8"/>
    </row>
    <row r="188" spans="7:7" x14ac:dyDescent="0.25">
      <c r="G188" s="8"/>
    </row>
    <row r="189" spans="7:7" x14ac:dyDescent="0.25">
      <c r="G189" s="8"/>
    </row>
    <row r="190" spans="7:7" x14ac:dyDescent="0.25">
      <c r="G190" s="8"/>
    </row>
    <row r="191" spans="7:7" x14ac:dyDescent="0.25">
      <c r="G191" s="8"/>
    </row>
    <row r="192" spans="7:7" x14ac:dyDescent="0.25">
      <c r="G192" s="8"/>
    </row>
    <row r="193" spans="7:7" x14ac:dyDescent="0.25">
      <c r="G193" s="3"/>
    </row>
    <row r="194" spans="7:7" x14ac:dyDescent="0.25">
      <c r="G194" s="8"/>
    </row>
    <row r="195" spans="7:7" x14ac:dyDescent="0.25">
      <c r="G195" s="8"/>
    </row>
    <row r="196" spans="7:7" x14ac:dyDescent="0.25">
      <c r="G196" s="8"/>
    </row>
    <row r="197" spans="7:7" x14ac:dyDescent="0.25">
      <c r="G197" s="8"/>
    </row>
    <row r="198" spans="7:7" x14ac:dyDescent="0.25">
      <c r="G198" s="8"/>
    </row>
    <row r="199" spans="7:7" x14ac:dyDescent="0.25">
      <c r="G199" s="8"/>
    </row>
    <row r="200" spans="7:7" x14ac:dyDescent="0.25">
      <c r="G200" s="8"/>
    </row>
    <row r="201" spans="7:7" x14ac:dyDescent="0.25">
      <c r="G201" s="8"/>
    </row>
    <row r="202" spans="7:7" x14ac:dyDescent="0.25">
      <c r="G202" s="8"/>
    </row>
    <row r="203" spans="7:7" x14ac:dyDescent="0.25">
      <c r="G203" s="8"/>
    </row>
    <row r="204" spans="7:7" x14ac:dyDescent="0.25">
      <c r="G204" s="8"/>
    </row>
    <row r="205" spans="7:7" x14ac:dyDescent="0.25">
      <c r="G205" s="8"/>
    </row>
    <row r="206" spans="7:7" x14ac:dyDescent="0.25">
      <c r="G206" s="8"/>
    </row>
    <row r="207" spans="7:7" x14ac:dyDescent="0.25">
      <c r="G207" s="8"/>
    </row>
    <row r="208" spans="7:7" x14ac:dyDescent="0.25">
      <c r="G208" s="8"/>
    </row>
    <row r="209" spans="7:7" x14ac:dyDescent="0.25">
      <c r="G209" s="8"/>
    </row>
    <row r="210" spans="7:7" x14ac:dyDescent="0.25">
      <c r="G210" s="8"/>
    </row>
    <row r="211" spans="7:7" x14ac:dyDescent="0.25">
      <c r="G211" s="8"/>
    </row>
    <row r="212" spans="7:7" x14ac:dyDescent="0.25">
      <c r="G212" s="8"/>
    </row>
    <row r="213" spans="7:7" x14ac:dyDescent="0.25">
      <c r="G213" s="8"/>
    </row>
    <row r="214" spans="7:7" x14ac:dyDescent="0.25">
      <c r="G214" s="8"/>
    </row>
    <row r="215" spans="7:7" x14ac:dyDescent="0.25">
      <c r="G215" s="8"/>
    </row>
    <row r="216" spans="7:7" x14ac:dyDescent="0.25">
      <c r="G216" s="8"/>
    </row>
    <row r="217" spans="7:7" x14ac:dyDescent="0.25">
      <c r="G217" s="8"/>
    </row>
    <row r="218" spans="7:7" x14ac:dyDescent="0.25">
      <c r="G218" s="8"/>
    </row>
    <row r="219" spans="7:7" x14ac:dyDescent="0.25">
      <c r="G219" s="8"/>
    </row>
    <row r="220" spans="7:7" x14ac:dyDescent="0.25">
      <c r="G220" s="8"/>
    </row>
    <row r="221" spans="7:7" x14ac:dyDescent="0.25">
      <c r="G221" s="1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798E6-BF18-4C60-B81A-9918CBA8D13C}">
  <sheetPr codeName="Sheet3"/>
  <dimension ref="A1:G152"/>
  <sheetViews>
    <sheetView workbookViewId="0"/>
  </sheetViews>
  <sheetFormatPr defaultRowHeight="15" x14ac:dyDescent="0.25"/>
  <cols>
    <col min="1" max="1" width="22.28515625" customWidth="1"/>
    <col min="3" max="3" width="16.7109375" style="11" customWidth="1"/>
    <col min="4" max="4" width="14.140625" style="11" customWidth="1"/>
    <col min="5" max="5" width="16" style="11" customWidth="1"/>
    <col min="6" max="6" width="11.7109375" customWidth="1"/>
    <col min="7" max="7" width="14.7109375" customWidth="1"/>
  </cols>
  <sheetData>
    <row r="1" spans="1:7" ht="33.75" x14ac:dyDescent="0.25">
      <c r="A1" s="1" t="s">
        <v>0</v>
      </c>
      <c r="B1" s="2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</row>
    <row r="2" spans="1:7" x14ac:dyDescent="0.25">
      <c r="A2" s="5" t="s">
        <v>7</v>
      </c>
      <c r="B2" s="6">
        <v>2016</v>
      </c>
      <c r="C2" s="7">
        <v>74411</v>
      </c>
      <c r="D2" s="8">
        <v>34931</v>
      </c>
      <c r="E2" s="8">
        <v>983</v>
      </c>
      <c r="F2" s="9">
        <v>8645</v>
      </c>
      <c r="G2" s="8">
        <v>1782</v>
      </c>
    </row>
    <row r="3" spans="1:7" x14ac:dyDescent="0.25">
      <c r="A3" s="5" t="s">
        <v>8</v>
      </c>
      <c r="B3" s="6">
        <v>2016</v>
      </c>
      <c r="C3" s="7">
        <v>35744</v>
      </c>
      <c r="D3" s="8">
        <v>30013</v>
      </c>
      <c r="E3" s="8">
        <v>612</v>
      </c>
      <c r="F3" s="10">
        <v>5041</v>
      </c>
      <c r="G3" s="8">
        <v>1692</v>
      </c>
    </row>
    <row r="4" spans="1:7" x14ac:dyDescent="0.25">
      <c r="A4" s="5" t="s">
        <v>9</v>
      </c>
      <c r="B4" s="6">
        <v>2016</v>
      </c>
      <c r="C4" s="7">
        <v>244478</v>
      </c>
      <c r="D4" s="8">
        <v>44366</v>
      </c>
      <c r="E4" s="8">
        <v>5865</v>
      </c>
      <c r="F4" s="10">
        <v>25584</v>
      </c>
      <c r="G4" s="8">
        <v>2369</v>
      </c>
    </row>
    <row r="5" spans="1:7" x14ac:dyDescent="0.25">
      <c r="A5" s="5" t="s">
        <v>10</v>
      </c>
      <c r="B5" s="6">
        <v>2016</v>
      </c>
      <c r="C5" s="7">
        <v>137500</v>
      </c>
      <c r="D5" s="8">
        <v>20927</v>
      </c>
      <c r="E5" s="8">
        <v>3431</v>
      </c>
      <c r="F5" s="10">
        <v>10483</v>
      </c>
      <c r="G5" s="8">
        <v>2549</v>
      </c>
    </row>
    <row r="6" spans="1:7" x14ac:dyDescent="0.25">
      <c r="A6" s="5" t="s">
        <v>11</v>
      </c>
      <c r="B6" s="6">
        <v>2016</v>
      </c>
      <c r="C6" s="7">
        <v>47919</v>
      </c>
      <c r="D6" s="8">
        <v>32979</v>
      </c>
      <c r="E6" s="8">
        <v>485</v>
      </c>
      <c r="F6" s="9">
        <v>5930</v>
      </c>
      <c r="G6" s="8">
        <v>1785</v>
      </c>
    </row>
    <row r="7" spans="1:7" x14ac:dyDescent="0.25">
      <c r="A7" s="5" t="s">
        <v>12</v>
      </c>
      <c r="B7" s="6">
        <v>2016</v>
      </c>
      <c r="C7" s="7">
        <v>32390</v>
      </c>
      <c r="D7" s="8">
        <v>26856</v>
      </c>
      <c r="E7" s="8">
        <v>1212</v>
      </c>
      <c r="F7" s="10">
        <v>5058</v>
      </c>
      <c r="G7" s="8">
        <v>1846</v>
      </c>
    </row>
    <row r="8" spans="1:7" x14ac:dyDescent="0.25">
      <c r="A8" s="5" t="s">
        <v>13</v>
      </c>
      <c r="B8" s="6">
        <v>2016</v>
      </c>
      <c r="C8" s="7">
        <v>104323</v>
      </c>
      <c r="D8" s="8">
        <v>43462</v>
      </c>
      <c r="E8" s="8">
        <v>2293</v>
      </c>
      <c r="F8" s="10">
        <v>13474</v>
      </c>
      <c r="G8" s="8">
        <v>2187</v>
      </c>
    </row>
    <row r="9" spans="1:7" x14ac:dyDescent="0.25">
      <c r="A9" s="5" t="s">
        <v>14</v>
      </c>
      <c r="B9" s="6">
        <v>2016</v>
      </c>
      <c r="C9" s="7">
        <v>51404</v>
      </c>
      <c r="D9" s="8">
        <v>31719</v>
      </c>
      <c r="E9" s="8">
        <v>574</v>
      </c>
      <c r="F9" s="10">
        <v>6883</v>
      </c>
      <c r="G9" s="8">
        <v>1927</v>
      </c>
    </row>
    <row r="10" spans="1:7" x14ac:dyDescent="0.25">
      <c r="A10" s="5" t="s">
        <v>15</v>
      </c>
      <c r="B10" s="6">
        <v>2016</v>
      </c>
      <c r="C10" s="7">
        <v>128638</v>
      </c>
      <c r="D10" s="8">
        <v>40127</v>
      </c>
      <c r="E10" s="8">
        <v>1705</v>
      </c>
      <c r="F10" s="9">
        <v>17830</v>
      </c>
      <c r="G10" s="8">
        <v>2295</v>
      </c>
    </row>
    <row r="11" spans="1:7" x14ac:dyDescent="0.25">
      <c r="A11" s="5" t="s">
        <v>16</v>
      </c>
      <c r="B11" s="6">
        <v>2016</v>
      </c>
      <c r="C11" s="7">
        <v>46021</v>
      </c>
      <c r="D11" s="8">
        <v>32745</v>
      </c>
      <c r="E11" s="8">
        <v>427</v>
      </c>
      <c r="F11" s="10">
        <v>7205</v>
      </c>
      <c r="G11" s="8">
        <v>1815</v>
      </c>
    </row>
    <row r="12" spans="1:7" x14ac:dyDescent="0.25">
      <c r="A12" s="5" t="s">
        <v>17</v>
      </c>
      <c r="B12" s="6">
        <v>2016</v>
      </c>
      <c r="C12" s="7">
        <v>31356</v>
      </c>
      <c r="D12" s="8">
        <v>13793</v>
      </c>
      <c r="E12" s="8">
        <v>436</v>
      </c>
      <c r="F12" s="10">
        <v>3526</v>
      </c>
      <c r="G12" s="8">
        <v>2271</v>
      </c>
    </row>
    <row r="13" spans="1:7" x14ac:dyDescent="0.25">
      <c r="A13" s="5" t="s">
        <v>18</v>
      </c>
      <c r="B13" s="6">
        <v>2016</v>
      </c>
      <c r="C13" s="7">
        <v>114842</v>
      </c>
      <c r="D13" s="8">
        <v>35325</v>
      </c>
      <c r="E13" s="8">
        <v>1276</v>
      </c>
      <c r="F13" s="10">
        <v>15586</v>
      </c>
      <c r="G13" s="8">
        <v>1941</v>
      </c>
    </row>
    <row r="14" spans="1:7" x14ac:dyDescent="0.25">
      <c r="A14" s="5" t="s">
        <v>19</v>
      </c>
      <c r="B14" s="6">
        <v>2016</v>
      </c>
      <c r="C14" s="7">
        <v>57815</v>
      </c>
      <c r="D14" s="8">
        <v>34971</v>
      </c>
      <c r="E14" s="8">
        <v>1666</v>
      </c>
      <c r="F14" s="9">
        <v>10051</v>
      </c>
      <c r="G14" s="8">
        <v>2122</v>
      </c>
    </row>
    <row r="15" spans="1:7" x14ac:dyDescent="0.25">
      <c r="A15" s="5" t="s">
        <v>20</v>
      </c>
      <c r="B15" s="6">
        <v>2016</v>
      </c>
      <c r="C15" s="7">
        <v>119800</v>
      </c>
      <c r="D15" s="8">
        <v>39132</v>
      </c>
      <c r="E15" s="8">
        <v>1521</v>
      </c>
      <c r="F15" s="10">
        <v>21004</v>
      </c>
      <c r="G15" s="8">
        <v>2046</v>
      </c>
    </row>
    <row r="16" spans="1:7" x14ac:dyDescent="0.25">
      <c r="A16" s="5" t="s">
        <v>21</v>
      </c>
      <c r="B16" s="6">
        <v>2016</v>
      </c>
      <c r="C16" s="7">
        <v>116272</v>
      </c>
      <c r="D16" s="8">
        <v>37938</v>
      </c>
      <c r="E16" s="8">
        <v>1436</v>
      </c>
      <c r="F16" s="10">
        <v>8989</v>
      </c>
      <c r="G16" s="8">
        <v>2102</v>
      </c>
    </row>
    <row r="17" spans="1:7" x14ac:dyDescent="0.25">
      <c r="A17" s="5" t="s">
        <v>22</v>
      </c>
      <c r="B17" s="6">
        <v>2016</v>
      </c>
      <c r="C17" s="7">
        <v>39469</v>
      </c>
      <c r="D17" s="8">
        <v>31295</v>
      </c>
      <c r="E17" s="8">
        <v>318</v>
      </c>
      <c r="F17" s="10">
        <v>4697</v>
      </c>
      <c r="G17" s="8">
        <v>1960</v>
      </c>
    </row>
    <row r="18" spans="1:7" x14ac:dyDescent="0.25">
      <c r="A18" s="5" t="s">
        <v>23</v>
      </c>
      <c r="B18" s="6">
        <v>2016</v>
      </c>
      <c r="C18" s="7">
        <v>46287</v>
      </c>
      <c r="D18" s="8">
        <v>36084</v>
      </c>
      <c r="E18" s="8">
        <v>542</v>
      </c>
      <c r="F18" s="9">
        <v>5287</v>
      </c>
      <c r="G18" s="8">
        <v>1866</v>
      </c>
    </row>
    <row r="19" spans="1:7" x14ac:dyDescent="0.25">
      <c r="A19" s="5" t="s">
        <v>24</v>
      </c>
      <c r="B19" s="6">
        <v>2016</v>
      </c>
      <c r="C19" s="7">
        <v>31072</v>
      </c>
      <c r="D19" s="8">
        <v>28195</v>
      </c>
      <c r="E19" s="8">
        <v>294</v>
      </c>
      <c r="F19" s="10">
        <v>4249</v>
      </c>
      <c r="G19" s="8">
        <v>1659</v>
      </c>
    </row>
    <row r="20" spans="1:7" x14ac:dyDescent="0.25">
      <c r="A20" s="5" t="s">
        <v>25</v>
      </c>
      <c r="B20" s="6">
        <v>2016</v>
      </c>
      <c r="C20" s="7">
        <v>154871</v>
      </c>
      <c r="D20" s="8">
        <v>38197</v>
      </c>
      <c r="E20" s="8">
        <v>1028</v>
      </c>
      <c r="F20" s="10">
        <v>20435</v>
      </c>
      <c r="G20" s="8">
        <v>2060</v>
      </c>
    </row>
    <row r="21" spans="1:7" x14ac:dyDescent="0.25">
      <c r="A21" s="5" t="s">
        <v>26</v>
      </c>
      <c r="B21" s="6">
        <v>2016</v>
      </c>
      <c r="C21" s="7">
        <v>38743</v>
      </c>
      <c r="D21" s="8">
        <v>32968</v>
      </c>
      <c r="E21" s="8">
        <v>247</v>
      </c>
      <c r="F21" s="10">
        <v>7171</v>
      </c>
      <c r="G21" s="8">
        <v>1733</v>
      </c>
    </row>
    <row r="22" spans="1:7" x14ac:dyDescent="0.25">
      <c r="A22" s="5" t="s">
        <v>27</v>
      </c>
      <c r="B22" s="6">
        <v>2016</v>
      </c>
      <c r="C22" s="7">
        <v>48859</v>
      </c>
      <c r="D22" s="8">
        <v>34395</v>
      </c>
      <c r="E22" s="8">
        <v>319</v>
      </c>
      <c r="F22" s="9">
        <v>6228</v>
      </c>
      <c r="G22" s="8">
        <v>1786</v>
      </c>
    </row>
    <row r="23" spans="1:7" x14ac:dyDescent="0.25">
      <c r="A23" s="5" t="s">
        <v>28</v>
      </c>
      <c r="B23" s="6">
        <v>2016</v>
      </c>
      <c r="C23" s="7">
        <v>59412</v>
      </c>
      <c r="D23" s="8">
        <v>32327</v>
      </c>
      <c r="E23" s="8">
        <v>474</v>
      </c>
      <c r="F23" s="10">
        <v>8050</v>
      </c>
      <c r="G23" s="8">
        <v>1835</v>
      </c>
    </row>
    <row r="24" spans="1:7" x14ac:dyDescent="0.25">
      <c r="A24" s="5" t="s">
        <v>29</v>
      </c>
      <c r="B24" s="6">
        <v>2016</v>
      </c>
      <c r="C24" s="7">
        <v>21239</v>
      </c>
      <c r="D24" s="8">
        <v>28361</v>
      </c>
      <c r="E24" s="8">
        <v>119</v>
      </c>
      <c r="F24" s="10">
        <v>3500</v>
      </c>
      <c r="G24" s="8">
        <v>1772</v>
      </c>
    </row>
    <row r="25" spans="1:7" x14ac:dyDescent="0.25">
      <c r="A25" s="5" t="s">
        <v>30</v>
      </c>
      <c r="B25" s="6">
        <v>2016</v>
      </c>
      <c r="C25" s="7">
        <v>43362</v>
      </c>
      <c r="D25" s="8">
        <v>33231</v>
      </c>
      <c r="E25" s="8">
        <v>433</v>
      </c>
      <c r="F25" s="10">
        <v>5236</v>
      </c>
      <c r="G25" s="8">
        <v>1711</v>
      </c>
    </row>
    <row r="26" spans="1:7" x14ac:dyDescent="0.25">
      <c r="A26" s="5" t="s">
        <v>31</v>
      </c>
      <c r="B26" s="6">
        <v>2016</v>
      </c>
      <c r="C26" s="7">
        <v>559140</v>
      </c>
      <c r="D26" s="8">
        <v>92254</v>
      </c>
      <c r="E26" s="8">
        <v>8569</v>
      </c>
      <c r="F26" s="9">
        <v>76227</v>
      </c>
      <c r="G26" s="8">
        <v>3431</v>
      </c>
    </row>
    <row r="27" spans="1:7" x14ac:dyDescent="0.25">
      <c r="A27" s="5" t="s">
        <v>7</v>
      </c>
      <c r="B27" s="6">
        <v>2017</v>
      </c>
      <c r="C27" s="7">
        <v>92288</v>
      </c>
      <c r="D27" s="8">
        <v>45436</v>
      </c>
      <c r="E27" s="8">
        <v>1218</v>
      </c>
      <c r="F27" s="10">
        <v>9187</v>
      </c>
      <c r="G27" s="8">
        <v>2074</v>
      </c>
    </row>
    <row r="28" spans="1:7" x14ac:dyDescent="0.25">
      <c r="A28" s="5" t="s">
        <v>8</v>
      </c>
      <c r="B28" s="6">
        <v>2017</v>
      </c>
      <c r="C28" s="7">
        <v>51919</v>
      </c>
      <c r="D28" s="8">
        <v>38514</v>
      </c>
      <c r="E28" s="8">
        <v>689</v>
      </c>
      <c r="F28" s="10">
        <v>5597</v>
      </c>
      <c r="G28" s="8">
        <v>1994</v>
      </c>
    </row>
    <row r="29" spans="1:7" x14ac:dyDescent="0.25">
      <c r="A29" s="5" t="s">
        <v>9</v>
      </c>
      <c r="B29" s="6">
        <v>2017</v>
      </c>
      <c r="C29" s="7">
        <v>313527</v>
      </c>
      <c r="D29" s="8">
        <v>57333</v>
      </c>
      <c r="E29" s="8">
        <v>7053</v>
      </c>
      <c r="F29" s="10">
        <v>27892</v>
      </c>
      <c r="G29" s="8">
        <v>2790</v>
      </c>
    </row>
    <row r="30" spans="1:7" x14ac:dyDescent="0.25">
      <c r="A30" s="5" t="s">
        <v>10</v>
      </c>
      <c r="B30" s="6">
        <v>2017</v>
      </c>
      <c r="C30" s="7">
        <v>165932</v>
      </c>
      <c r="D30" s="8">
        <v>25278</v>
      </c>
      <c r="E30" s="8">
        <v>4433</v>
      </c>
      <c r="F30" s="9">
        <v>10450</v>
      </c>
      <c r="G30" s="8">
        <v>3063</v>
      </c>
    </row>
    <row r="31" spans="1:7" x14ac:dyDescent="0.25">
      <c r="A31" s="5" t="s">
        <v>11</v>
      </c>
      <c r="B31" s="6">
        <v>2017</v>
      </c>
      <c r="C31" s="7">
        <v>61424</v>
      </c>
      <c r="D31" s="8">
        <v>42684</v>
      </c>
      <c r="E31" s="8">
        <v>590</v>
      </c>
      <c r="F31" s="10">
        <v>6491</v>
      </c>
      <c r="G31" s="8">
        <v>2071</v>
      </c>
    </row>
    <row r="32" spans="1:7" x14ac:dyDescent="0.25">
      <c r="A32" s="5" t="s">
        <v>12</v>
      </c>
      <c r="B32" s="6">
        <v>2017</v>
      </c>
      <c r="C32" s="7">
        <v>43037</v>
      </c>
      <c r="D32" s="8">
        <v>33891</v>
      </c>
      <c r="E32" s="8">
        <v>1446</v>
      </c>
      <c r="F32" s="10">
        <v>5788</v>
      </c>
      <c r="G32" s="8">
        <v>2069</v>
      </c>
    </row>
    <row r="33" spans="1:7" x14ac:dyDescent="0.25">
      <c r="A33" s="5" t="s">
        <v>13</v>
      </c>
      <c r="B33" s="6">
        <v>2017</v>
      </c>
      <c r="C33" s="7">
        <v>130187</v>
      </c>
      <c r="D33" s="8">
        <v>54261</v>
      </c>
      <c r="E33" s="8">
        <v>2981</v>
      </c>
      <c r="F33" s="10">
        <v>14576</v>
      </c>
      <c r="G33" s="8">
        <v>2607</v>
      </c>
    </row>
    <row r="34" spans="1:7" x14ac:dyDescent="0.25">
      <c r="A34" s="5" t="s">
        <v>14</v>
      </c>
      <c r="B34" s="6">
        <v>2017</v>
      </c>
      <c r="C34" s="7">
        <v>63809</v>
      </c>
      <c r="D34" s="8">
        <v>40580</v>
      </c>
      <c r="E34" s="8">
        <v>665</v>
      </c>
      <c r="F34" s="9">
        <v>7639</v>
      </c>
      <c r="G34" s="8">
        <v>2213</v>
      </c>
    </row>
    <row r="35" spans="1:7" x14ac:dyDescent="0.25">
      <c r="A35" s="5" t="s">
        <v>15</v>
      </c>
      <c r="B35" s="6">
        <v>2017</v>
      </c>
      <c r="C35" s="7">
        <v>156829</v>
      </c>
      <c r="D35" s="8">
        <v>50664</v>
      </c>
      <c r="E35" s="8">
        <v>1748</v>
      </c>
      <c r="F35" s="10">
        <v>19339</v>
      </c>
      <c r="G35" s="8">
        <v>2761</v>
      </c>
    </row>
    <row r="36" spans="1:7" x14ac:dyDescent="0.25">
      <c r="A36" s="5" t="s">
        <v>16</v>
      </c>
      <c r="B36" s="6">
        <v>2017</v>
      </c>
      <c r="C36" s="7">
        <v>52978</v>
      </c>
      <c r="D36" s="8">
        <v>42227</v>
      </c>
      <c r="E36" s="8">
        <v>416</v>
      </c>
      <c r="F36" s="10">
        <v>7735</v>
      </c>
      <c r="G36" s="8">
        <v>2114</v>
      </c>
    </row>
    <row r="37" spans="1:7" x14ac:dyDescent="0.25">
      <c r="A37" s="5" t="s">
        <v>17</v>
      </c>
      <c r="B37" s="6">
        <v>2017</v>
      </c>
      <c r="C37" s="7">
        <v>30265</v>
      </c>
      <c r="D37" s="8">
        <v>16416</v>
      </c>
      <c r="E37" s="8">
        <v>234</v>
      </c>
      <c r="F37" s="10">
        <v>3408</v>
      </c>
      <c r="G37" s="8">
        <v>2742</v>
      </c>
    </row>
    <row r="38" spans="1:7" x14ac:dyDescent="0.25">
      <c r="A38" s="5" t="s">
        <v>18</v>
      </c>
      <c r="B38" s="6">
        <v>2017</v>
      </c>
      <c r="C38" s="7">
        <v>147308</v>
      </c>
      <c r="D38" s="8">
        <v>44981</v>
      </c>
      <c r="E38" s="8">
        <v>1585</v>
      </c>
      <c r="F38" s="9">
        <v>17933</v>
      </c>
      <c r="G38" s="8">
        <v>2244</v>
      </c>
    </row>
    <row r="39" spans="1:7" x14ac:dyDescent="0.25">
      <c r="A39" s="5" t="s">
        <v>19</v>
      </c>
      <c r="B39" s="6">
        <v>2017</v>
      </c>
      <c r="C39" s="7">
        <v>69299</v>
      </c>
      <c r="D39" s="8">
        <v>45356</v>
      </c>
      <c r="E39" s="8">
        <v>1901</v>
      </c>
      <c r="F39" s="10">
        <v>10801</v>
      </c>
      <c r="G39" s="8">
        <v>2448</v>
      </c>
    </row>
    <row r="40" spans="1:7" x14ac:dyDescent="0.25">
      <c r="A40" s="5" t="s">
        <v>20</v>
      </c>
      <c r="B40" s="6">
        <v>2017</v>
      </c>
      <c r="C40" s="7">
        <v>149392</v>
      </c>
      <c r="D40" s="8">
        <v>50111</v>
      </c>
      <c r="E40" s="8">
        <v>1814</v>
      </c>
      <c r="F40" s="10">
        <v>24023</v>
      </c>
      <c r="G40" s="8">
        <v>2387</v>
      </c>
    </row>
    <row r="41" spans="1:7" x14ac:dyDescent="0.25">
      <c r="A41" s="5" t="s">
        <v>21</v>
      </c>
      <c r="B41" s="6">
        <v>2017</v>
      </c>
      <c r="C41" s="7">
        <v>150543</v>
      </c>
      <c r="D41" s="8">
        <v>48663</v>
      </c>
      <c r="E41" s="8">
        <v>1865</v>
      </c>
      <c r="F41" s="10">
        <v>10188</v>
      </c>
      <c r="G41" s="8">
        <v>2481</v>
      </c>
    </row>
    <row r="42" spans="1:7" x14ac:dyDescent="0.25">
      <c r="A42" s="5" t="s">
        <v>22</v>
      </c>
      <c r="B42" s="6">
        <v>2017</v>
      </c>
      <c r="C42" s="7">
        <v>48796</v>
      </c>
      <c r="D42" s="8">
        <v>40325</v>
      </c>
      <c r="E42" s="8">
        <v>383</v>
      </c>
      <c r="F42" s="9">
        <v>5280</v>
      </c>
      <c r="G42" s="8">
        <v>2211</v>
      </c>
    </row>
    <row r="43" spans="1:7" x14ac:dyDescent="0.25">
      <c r="A43" s="5" t="s">
        <v>23</v>
      </c>
      <c r="B43" s="6">
        <v>2017</v>
      </c>
      <c r="C43" s="7">
        <v>56473</v>
      </c>
      <c r="D43" s="8">
        <v>45852</v>
      </c>
      <c r="E43" s="8">
        <v>673</v>
      </c>
      <c r="F43" s="10">
        <v>5705</v>
      </c>
      <c r="G43" s="8">
        <v>2177</v>
      </c>
    </row>
    <row r="44" spans="1:7" x14ac:dyDescent="0.25">
      <c r="A44" s="5" t="s">
        <v>24</v>
      </c>
      <c r="B44" s="6">
        <v>2017</v>
      </c>
      <c r="C44" s="7">
        <v>40715</v>
      </c>
      <c r="D44" s="8">
        <v>36204</v>
      </c>
      <c r="E44" s="8">
        <v>380</v>
      </c>
      <c r="F44" s="10">
        <v>4710</v>
      </c>
      <c r="G44" s="8">
        <v>1871</v>
      </c>
    </row>
    <row r="45" spans="1:7" x14ac:dyDescent="0.25">
      <c r="A45" s="5" t="s">
        <v>25</v>
      </c>
      <c r="B45" s="6">
        <v>2017</v>
      </c>
      <c r="C45" s="7">
        <v>187238</v>
      </c>
      <c r="D45" s="8">
        <v>48370</v>
      </c>
      <c r="E45" s="8">
        <v>1192</v>
      </c>
      <c r="F45" s="10">
        <v>22597</v>
      </c>
      <c r="G45" s="8">
        <v>2407</v>
      </c>
    </row>
    <row r="46" spans="1:7" x14ac:dyDescent="0.25">
      <c r="A46" s="5" t="s">
        <v>26</v>
      </c>
      <c r="B46" s="6">
        <v>2017</v>
      </c>
      <c r="C46" s="7">
        <v>47819</v>
      </c>
      <c r="D46" s="8">
        <v>41695</v>
      </c>
      <c r="E46" s="8">
        <v>289</v>
      </c>
      <c r="F46" s="9">
        <v>8107</v>
      </c>
      <c r="G46" s="8">
        <v>1970</v>
      </c>
    </row>
    <row r="47" spans="1:7" x14ac:dyDescent="0.25">
      <c r="A47" s="5" t="s">
        <v>27</v>
      </c>
      <c r="B47" s="6">
        <v>2017</v>
      </c>
      <c r="C47" s="7">
        <v>63808</v>
      </c>
      <c r="D47" s="8">
        <v>43638</v>
      </c>
      <c r="E47" s="8">
        <v>468</v>
      </c>
      <c r="F47" s="10">
        <v>6954</v>
      </c>
      <c r="G47" s="8">
        <v>2075</v>
      </c>
    </row>
    <row r="48" spans="1:7" x14ac:dyDescent="0.25">
      <c r="A48" s="5" t="s">
        <v>28</v>
      </c>
      <c r="B48" s="6">
        <v>2017</v>
      </c>
      <c r="C48" s="7">
        <v>73073</v>
      </c>
      <c r="D48" s="8">
        <v>41854</v>
      </c>
      <c r="E48" s="8">
        <v>618</v>
      </c>
      <c r="F48" s="10">
        <v>8864</v>
      </c>
      <c r="G48" s="8">
        <v>2155</v>
      </c>
    </row>
    <row r="49" spans="1:7" x14ac:dyDescent="0.25">
      <c r="A49" s="5" t="s">
        <v>29</v>
      </c>
      <c r="B49" s="6">
        <v>2017</v>
      </c>
      <c r="C49" s="7">
        <v>28579</v>
      </c>
      <c r="D49" s="8">
        <v>36215</v>
      </c>
      <c r="E49" s="8">
        <v>150</v>
      </c>
      <c r="F49" s="10">
        <v>3925</v>
      </c>
      <c r="G49" s="8">
        <v>1985</v>
      </c>
    </row>
    <row r="50" spans="1:7" x14ac:dyDescent="0.25">
      <c r="A50" s="5" t="s">
        <v>30</v>
      </c>
      <c r="B50" s="6">
        <v>2017</v>
      </c>
      <c r="C50" s="7">
        <v>56611</v>
      </c>
      <c r="D50" s="8">
        <v>42501</v>
      </c>
      <c r="E50" s="8">
        <v>625</v>
      </c>
      <c r="F50" s="9">
        <v>5904</v>
      </c>
      <c r="G50" s="8">
        <v>1974</v>
      </c>
    </row>
    <row r="51" spans="1:7" x14ac:dyDescent="0.25">
      <c r="A51" s="5" t="s">
        <v>31</v>
      </c>
      <c r="B51" s="6">
        <v>2017</v>
      </c>
      <c r="C51" s="7">
        <v>699378</v>
      </c>
      <c r="D51" s="8">
        <v>118208</v>
      </c>
      <c r="E51" s="8">
        <v>9738</v>
      </c>
      <c r="F51" s="10">
        <v>85163</v>
      </c>
      <c r="G51" s="8">
        <v>4012</v>
      </c>
    </row>
    <row r="52" spans="1:7" x14ac:dyDescent="0.25">
      <c r="A52" s="5" t="s">
        <v>7</v>
      </c>
      <c r="B52" s="6">
        <v>2018</v>
      </c>
      <c r="C52" s="7">
        <v>111489</v>
      </c>
      <c r="D52" s="8">
        <v>54992</v>
      </c>
      <c r="E52" s="8">
        <v>1429</v>
      </c>
      <c r="F52" s="10">
        <v>9713</v>
      </c>
      <c r="G52" s="8">
        <v>2432</v>
      </c>
    </row>
    <row r="53" spans="1:7" x14ac:dyDescent="0.25">
      <c r="A53" s="5" t="s">
        <v>8</v>
      </c>
      <c r="B53" s="6">
        <v>2018</v>
      </c>
      <c r="C53" s="7">
        <v>60445</v>
      </c>
      <c r="D53" s="8">
        <v>46475</v>
      </c>
      <c r="E53" s="8">
        <v>720</v>
      </c>
      <c r="F53" s="10">
        <v>5917</v>
      </c>
      <c r="G53" s="8">
        <v>2339</v>
      </c>
    </row>
    <row r="54" spans="1:7" x14ac:dyDescent="0.25">
      <c r="A54" s="5" t="s">
        <v>9</v>
      </c>
      <c r="B54" s="6">
        <v>2018</v>
      </c>
      <c r="C54" s="7">
        <v>369356</v>
      </c>
      <c r="D54" s="8">
        <v>72883</v>
      </c>
      <c r="E54" s="8">
        <v>7723</v>
      </c>
      <c r="F54" s="9">
        <v>29119</v>
      </c>
      <c r="G54" s="8">
        <v>3138</v>
      </c>
    </row>
    <row r="55" spans="1:7" x14ac:dyDescent="0.25">
      <c r="A55" s="5" t="s">
        <v>10</v>
      </c>
      <c r="B55" s="6">
        <v>2018</v>
      </c>
      <c r="C55" s="7">
        <v>192161</v>
      </c>
      <c r="D55" s="8">
        <v>31888</v>
      </c>
      <c r="E55" s="8">
        <v>4845</v>
      </c>
      <c r="F55" s="10">
        <v>9731</v>
      </c>
      <c r="G55" s="8">
        <v>3496</v>
      </c>
    </row>
    <row r="56" spans="1:7" x14ac:dyDescent="0.25">
      <c r="A56" s="5" t="s">
        <v>11</v>
      </c>
      <c r="B56" s="6">
        <v>2018</v>
      </c>
      <c r="C56" s="7">
        <v>77103</v>
      </c>
      <c r="D56" s="8">
        <v>52136</v>
      </c>
      <c r="E56" s="8">
        <v>662</v>
      </c>
      <c r="F56" s="10">
        <v>6913</v>
      </c>
      <c r="G56" s="8">
        <v>2369</v>
      </c>
    </row>
    <row r="57" spans="1:7" x14ac:dyDescent="0.25">
      <c r="A57" s="5" t="s">
        <v>12</v>
      </c>
      <c r="B57" s="6">
        <v>2018</v>
      </c>
      <c r="C57" s="7">
        <v>52445</v>
      </c>
      <c r="D57" s="8">
        <v>40472</v>
      </c>
      <c r="E57" s="8">
        <v>1659</v>
      </c>
      <c r="F57" s="10">
        <v>6424</v>
      </c>
      <c r="G57" s="8">
        <v>2351</v>
      </c>
    </row>
    <row r="58" spans="1:7" x14ac:dyDescent="0.25">
      <c r="A58" s="5" t="s">
        <v>13</v>
      </c>
      <c r="B58" s="6">
        <v>2018</v>
      </c>
      <c r="C58" s="7">
        <v>147043</v>
      </c>
      <c r="D58" s="8">
        <v>67983</v>
      </c>
      <c r="E58" s="8">
        <v>3377</v>
      </c>
      <c r="F58" s="9">
        <v>14993</v>
      </c>
      <c r="G58" s="8">
        <v>2927</v>
      </c>
    </row>
    <row r="59" spans="1:7" x14ac:dyDescent="0.25">
      <c r="A59" s="5" t="s">
        <v>14</v>
      </c>
      <c r="B59" s="6">
        <v>2018</v>
      </c>
      <c r="C59" s="7">
        <v>78439</v>
      </c>
      <c r="D59" s="8">
        <v>48368</v>
      </c>
      <c r="E59" s="8">
        <v>871</v>
      </c>
      <c r="F59" s="10">
        <v>8302</v>
      </c>
      <c r="G59" s="8">
        <v>2539</v>
      </c>
    </row>
    <row r="60" spans="1:7" x14ac:dyDescent="0.25">
      <c r="A60" s="5" t="s">
        <v>15</v>
      </c>
      <c r="B60" s="6">
        <v>2018</v>
      </c>
      <c r="C60" s="7">
        <v>198142</v>
      </c>
      <c r="D60" s="8">
        <v>63498</v>
      </c>
      <c r="E60" s="8">
        <v>1856</v>
      </c>
      <c r="F60" s="10">
        <v>20054</v>
      </c>
      <c r="G60" s="8">
        <v>3157</v>
      </c>
    </row>
    <row r="61" spans="1:7" x14ac:dyDescent="0.25">
      <c r="A61" s="5" t="s">
        <v>16</v>
      </c>
      <c r="B61" s="6">
        <v>2018</v>
      </c>
      <c r="C61" s="7">
        <v>64417</v>
      </c>
      <c r="D61" s="8">
        <v>51018</v>
      </c>
      <c r="E61" s="8">
        <v>522</v>
      </c>
      <c r="F61" s="10">
        <v>8068</v>
      </c>
      <c r="G61" s="8">
        <v>2428</v>
      </c>
    </row>
    <row r="62" spans="1:7" x14ac:dyDescent="0.25">
      <c r="A62" s="5" t="s">
        <v>17</v>
      </c>
      <c r="B62" s="6">
        <v>2018</v>
      </c>
      <c r="C62" s="7">
        <v>35204</v>
      </c>
      <c r="D62" s="8">
        <v>20619</v>
      </c>
      <c r="E62" s="8">
        <v>203</v>
      </c>
      <c r="F62" s="9">
        <v>3449</v>
      </c>
      <c r="G62" s="8">
        <v>3090</v>
      </c>
    </row>
    <row r="63" spans="1:7" x14ac:dyDescent="0.25">
      <c r="A63" s="5" t="s">
        <v>18</v>
      </c>
      <c r="B63" s="6">
        <v>2018</v>
      </c>
      <c r="C63" s="7">
        <v>177233</v>
      </c>
      <c r="D63" s="8">
        <v>55511</v>
      </c>
      <c r="E63" s="8">
        <v>1896</v>
      </c>
      <c r="F63" s="10">
        <v>19233</v>
      </c>
      <c r="G63" s="8">
        <v>2578</v>
      </c>
    </row>
    <row r="64" spans="1:7" x14ac:dyDescent="0.25">
      <c r="A64" s="5" t="s">
        <v>19</v>
      </c>
      <c r="B64" s="6">
        <v>2018</v>
      </c>
      <c r="C64" s="7">
        <v>79903</v>
      </c>
      <c r="D64" s="8">
        <v>55544</v>
      </c>
      <c r="E64" s="8">
        <v>2113</v>
      </c>
      <c r="F64" s="10">
        <v>11434</v>
      </c>
      <c r="G64" s="8">
        <v>2822</v>
      </c>
    </row>
    <row r="65" spans="1:7" x14ac:dyDescent="0.25">
      <c r="A65" s="5" t="s">
        <v>20</v>
      </c>
      <c r="B65" s="6">
        <v>2018</v>
      </c>
      <c r="C65" s="7">
        <v>173224</v>
      </c>
      <c r="D65" s="8">
        <v>61166</v>
      </c>
      <c r="E65" s="8">
        <v>1668</v>
      </c>
      <c r="F65" s="10">
        <v>24704</v>
      </c>
      <c r="G65" s="8">
        <v>2700</v>
      </c>
    </row>
    <row r="66" spans="1:7" x14ac:dyDescent="0.25">
      <c r="A66" s="5" t="s">
        <v>21</v>
      </c>
      <c r="B66" s="6">
        <v>2018</v>
      </c>
      <c r="C66" s="7">
        <v>174089</v>
      </c>
      <c r="D66" s="8">
        <v>60218</v>
      </c>
      <c r="E66" s="8">
        <v>1906</v>
      </c>
      <c r="F66" s="9">
        <v>10958</v>
      </c>
      <c r="G66" s="8">
        <v>2850</v>
      </c>
    </row>
    <row r="67" spans="1:7" x14ac:dyDescent="0.25">
      <c r="A67" s="5" t="s">
        <v>22</v>
      </c>
      <c r="B67" s="6">
        <v>2018</v>
      </c>
      <c r="C67" s="7">
        <v>56835</v>
      </c>
      <c r="D67" s="8">
        <v>47729</v>
      </c>
      <c r="E67" s="8">
        <v>411</v>
      </c>
      <c r="F67" s="10">
        <v>5545</v>
      </c>
      <c r="G67" s="8">
        <v>2575</v>
      </c>
    </row>
    <row r="68" spans="1:7" x14ac:dyDescent="0.25">
      <c r="A68" s="5" t="s">
        <v>23</v>
      </c>
      <c r="B68" s="6">
        <v>2018</v>
      </c>
      <c r="C68" s="7">
        <v>68476</v>
      </c>
      <c r="D68" s="8">
        <v>55934</v>
      </c>
      <c r="E68" s="8">
        <v>802</v>
      </c>
      <c r="F68" s="10">
        <v>5949</v>
      </c>
      <c r="G68" s="8">
        <v>2503</v>
      </c>
    </row>
    <row r="69" spans="1:7" x14ac:dyDescent="0.25">
      <c r="A69" s="5" t="s">
        <v>24</v>
      </c>
      <c r="B69" s="6">
        <v>2018</v>
      </c>
      <c r="C69" s="7">
        <v>49127</v>
      </c>
      <c r="D69" s="8">
        <v>43513</v>
      </c>
      <c r="E69" s="8">
        <v>453</v>
      </c>
      <c r="F69" s="10">
        <v>5043</v>
      </c>
      <c r="G69" s="8">
        <v>2185</v>
      </c>
    </row>
    <row r="70" spans="1:7" x14ac:dyDescent="0.25">
      <c r="A70" s="5" t="s">
        <v>25</v>
      </c>
      <c r="B70" s="6">
        <v>2018</v>
      </c>
      <c r="C70" s="7">
        <v>233279</v>
      </c>
      <c r="D70" s="8">
        <v>60118</v>
      </c>
      <c r="E70" s="8">
        <v>1279</v>
      </c>
      <c r="F70" s="9">
        <v>23793</v>
      </c>
      <c r="G70" s="8">
        <v>2753</v>
      </c>
    </row>
    <row r="71" spans="1:7" x14ac:dyDescent="0.25">
      <c r="A71" s="5" t="s">
        <v>26</v>
      </c>
      <c r="B71" s="6">
        <v>2018</v>
      </c>
      <c r="C71" s="7">
        <v>55152</v>
      </c>
      <c r="D71" s="8">
        <v>50109</v>
      </c>
      <c r="E71" s="8">
        <v>270</v>
      </c>
      <c r="F71" s="10">
        <v>8218</v>
      </c>
      <c r="G71" s="8">
        <v>2269</v>
      </c>
    </row>
    <row r="72" spans="1:7" x14ac:dyDescent="0.25">
      <c r="A72" s="5" t="s">
        <v>27</v>
      </c>
      <c r="B72" s="6">
        <v>2018</v>
      </c>
      <c r="C72" s="7">
        <v>75638</v>
      </c>
      <c r="D72" s="8">
        <v>52488</v>
      </c>
      <c r="E72" s="8">
        <v>638</v>
      </c>
      <c r="F72" s="10">
        <v>7431</v>
      </c>
      <c r="G72" s="8">
        <v>2425</v>
      </c>
    </row>
    <row r="73" spans="1:7" x14ac:dyDescent="0.25">
      <c r="A73" s="5" t="s">
        <v>28</v>
      </c>
      <c r="B73" s="6">
        <v>2018</v>
      </c>
      <c r="C73" s="7">
        <v>93287</v>
      </c>
      <c r="D73" s="8">
        <v>50293</v>
      </c>
      <c r="E73" s="8">
        <v>786</v>
      </c>
      <c r="F73" s="10">
        <v>9176</v>
      </c>
      <c r="G73" s="8">
        <v>2508</v>
      </c>
    </row>
    <row r="74" spans="1:7" x14ac:dyDescent="0.25">
      <c r="A74" s="5" t="s">
        <v>29</v>
      </c>
      <c r="B74" s="6">
        <v>2018</v>
      </c>
      <c r="C74" s="7">
        <v>33905</v>
      </c>
      <c r="D74" s="8">
        <v>42850</v>
      </c>
      <c r="E74" s="8">
        <v>200</v>
      </c>
      <c r="F74" s="9">
        <v>4096</v>
      </c>
      <c r="G74" s="8">
        <v>2329</v>
      </c>
    </row>
    <row r="75" spans="1:7" x14ac:dyDescent="0.25">
      <c r="A75" s="5" t="s">
        <v>30</v>
      </c>
      <c r="B75" s="6">
        <v>2018</v>
      </c>
      <c r="C75" s="7">
        <v>70611</v>
      </c>
      <c r="D75" s="8">
        <v>50895</v>
      </c>
      <c r="E75" s="8">
        <v>755</v>
      </c>
      <c r="F75" s="10">
        <v>6105</v>
      </c>
      <c r="G75" s="8">
        <v>2308</v>
      </c>
    </row>
    <row r="76" spans="1:7" x14ac:dyDescent="0.25">
      <c r="A76" s="5" t="s">
        <v>31</v>
      </c>
      <c r="B76" s="6">
        <v>2018</v>
      </c>
      <c r="C76" s="7">
        <v>833299</v>
      </c>
      <c r="D76" s="8">
        <v>141174</v>
      </c>
      <c r="E76" s="8">
        <v>10248</v>
      </c>
      <c r="F76" s="10">
        <v>91509</v>
      </c>
      <c r="G76" s="8">
        <v>4607</v>
      </c>
    </row>
    <row r="77" spans="1:7" x14ac:dyDescent="0.25">
      <c r="A77" s="5" t="s">
        <v>7</v>
      </c>
      <c r="B77" s="6">
        <v>2019</v>
      </c>
      <c r="C77" s="7">
        <v>129097</v>
      </c>
      <c r="D77" s="8">
        <v>65503</v>
      </c>
      <c r="E77" s="8">
        <v>1455</v>
      </c>
      <c r="F77" s="10">
        <v>10295</v>
      </c>
      <c r="G77" s="8">
        <v>2651</v>
      </c>
    </row>
    <row r="78" spans="1:7" x14ac:dyDescent="0.25">
      <c r="A78" s="5" t="s">
        <v>8</v>
      </c>
      <c r="B78" s="6">
        <v>2019</v>
      </c>
      <c r="C78" s="7">
        <v>75637</v>
      </c>
      <c r="D78" s="8">
        <v>53990</v>
      </c>
      <c r="E78" s="8">
        <v>694</v>
      </c>
      <c r="F78" s="10">
        <v>6292</v>
      </c>
      <c r="G78" s="8">
        <v>2580</v>
      </c>
    </row>
    <row r="79" spans="1:7" x14ac:dyDescent="0.25">
      <c r="A79" s="5" t="s">
        <v>9</v>
      </c>
      <c r="B79" s="6">
        <v>2019</v>
      </c>
      <c r="C79" s="7">
        <v>390325</v>
      </c>
      <c r="D79" s="8">
        <v>89042</v>
      </c>
      <c r="E79" s="8">
        <v>7907</v>
      </c>
      <c r="F79" s="9">
        <v>31191</v>
      </c>
      <c r="G79" s="8">
        <v>3336</v>
      </c>
    </row>
    <row r="80" spans="1:7" x14ac:dyDescent="0.25">
      <c r="A80" s="5" t="s">
        <v>10</v>
      </c>
      <c r="B80" s="6">
        <v>2019</v>
      </c>
      <c r="C80" s="7">
        <v>204893</v>
      </c>
      <c r="D80" s="8">
        <v>39843</v>
      </c>
      <c r="E80" s="8">
        <v>4632</v>
      </c>
      <c r="F80" s="10">
        <v>10299</v>
      </c>
      <c r="G80" s="8">
        <v>3755</v>
      </c>
    </row>
    <row r="81" spans="1:7" x14ac:dyDescent="0.25">
      <c r="A81" s="5" t="s">
        <v>11</v>
      </c>
      <c r="B81" s="6">
        <v>2019</v>
      </c>
      <c r="C81" s="7">
        <v>85267</v>
      </c>
      <c r="D81" s="8">
        <v>62571</v>
      </c>
      <c r="E81" s="8">
        <v>719</v>
      </c>
      <c r="F81" s="10">
        <v>7306</v>
      </c>
      <c r="G81" s="8">
        <v>2561</v>
      </c>
    </row>
    <row r="82" spans="1:7" x14ac:dyDescent="0.25">
      <c r="A82" s="5" t="s">
        <v>12</v>
      </c>
      <c r="B82" s="6">
        <v>2019</v>
      </c>
      <c r="C82" s="7">
        <v>61325</v>
      </c>
      <c r="D82" s="8">
        <v>47852</v>
      </c>
      <c r="E82" s="8">
        <v>1490</v>
      </c>
      <c r="F82" s="10">
        <v>6388</v>
      </c>
      <c r="G82" s="8">
        <v>2553</v>
      </c>
    </row>
    <row r="83" spans="1:7" x14ac:dyDescent="0.25">
      <c r="A83" s="5" t="s">
        <v>13</v>
      </c>
      <c r="B83" s="6">
        <v>2019</v>
      </c>
      <c r="C83" s="7">
        <v>155158</v>
      </c>
      <c r="D83" s="8">
        <v>76062</v>
      </c>
      <c r="E83" s="8">
        <v>3081</v>
      </c>
      <c r="F83" s="9">
        <v>15652</v>
      </c>
      <c r="G83" s="8">
        <v>3142</v>
      </c>
    </row>
    <row r="84" spans="1:7" x14ac:dyDescent="0.25">
      <c r="A84" s="5" t="s">
        <v>14</v>
      </c>
      <c r="B84" s="6">
        <v>2019</v>
      </c>
      <c r="C84" s="7">
        <v>86679</v>
      </c>
      <c r="D84" s="8">
        <v>56514</v>
      </c>
      <c r="E84" s="8">
        <v>911</v>
      </c>
      <c r="F84" s="10">
        <v>8595</v>
      </c>
      <c r="G84" s="8">
        <v>2679</v>
      </c>
    </row>
    <row r="85" spans="1:7" x14ac:dyDescent="0.25">
      <c r="A85" s="5" t="s">
        <v>15</v>
      </c>
      <c r="B85" s="6">
        <v>2019</v>
      </c>
      <c r="C85" s="7">
        <v>218647</v>
      </c>
      <c r="D85" s="8">
        <v>76232</v>
      </c>
      <c r="E85" s="8">
        <v>1948</v>
      </c>
      <c r="F85" s="10">
        <v>21077</v>
      </c>
      <c r="G85" s="8">
        <v>3351</v>
      </c>
    </row>
    <row r="86" spans="1:7" x14ac:dyDescent="0.25">
      <c r="A86" s="5" t="s">
        <v>16</v>
      </c>
      <c r="B86" s="6">
        <v>2019</v>
      </c>
      <c r="C86" s="7">
        <v>73066</v>
      </c>
      <c r="D86" s="8">
        <v>58461</v>
      </c>
      <c r="E86" s="8">
        <v>707</v>
      </c>
      <c r="F86" s="10">
        <v>8755</v>
      </c>
      <c r="G86" s="8">
        <v>2608</v>
      </c>
    </row>
    <row r="87" spans="1:7" x14ac:dyDescent="0.25">
      <c r="A87" s="5" t="s">
        <v>17</v>
      </c>
      <c r="B87" s="6">
        <v>2019</v>
      </c>
      <c r="C87" s="7">
        <v>40291</v>
      </c>
      <c r="D87" s="8">
        <v>24975</v>
      </c>
      <c r="E87" s="8">
        <v>153</v>
      </c>
      <c r="F87" s="9">
        <v>3732</v>
      </c>
      <c r="G87" s="8">
        <v>3337</v>
      </c>
    </row>
    <row r="88" spans="1:7" x14ac:dyDescent="0.25">
      <c r="A88" s="5" t="s">
        <v>18</v>
      </c>
      <c r="B88" s="6">
        <v>2019</v>
      </c>
      <c r="C88" s="7">
        <v>214400</v>
      </c>
      <c r="D88" s="8">
        <v>67353</v>
      </c>
      <c r="E88" s="8">
        <v>2202</v>
      </c>
      <c r="F88" s="10">
        <v>20480</v>
      </c>
      <c r="G88" s="8">
        <v>2789</v>
      </c>
    </row>
    <row r="89" spans="1:7" x14ac:dyDescent="0.25">
      <c r="A89" s="5" t="s">
        <v>19</v>
      </c>
      <c r="B89" s="6">
        <v>2019</v>
      </c>
      <c r="C89" s="7">
        <v>92427</v>
      </c>
      <c r="D89" s="8">
        <v>64700</v>
      </c>
      <c r="E89" s="8">
        <v>2153</v>
      </c>
      <c r="F89" s="10">
        <v>12278</v>
      </c>
      <c r="G89" s="8">
        <v>3094</v>
      </c>
    </row>
    <row r="90" spans="1:7" x14ac:dyDescent="0.25">
      <c r="A90" s="5" t="s">
        <v>20</v>
      </c>
      <c r="B90" s="6">
        <v>2019</v>
      </c>
      <c r="C90" s="7">
        <v>197153</v>
      </c>
      <c r="D90" s="8">
        <v>75288</v>
      </c>
      <c r="E90" s="8">
        <v>1384</v>
      </c>
      <c r="F90" s="10">
        <v>25871</v>
      </c>
      <c r="G90" s="8">
        <v>2947</v>
      </c>
    </row>
    <row r="91" spans="1:7" x14ac:dyDescent="0.25">
      <c r="A91" s="5" t="s">
        <v>21</v>
      </c>
      <c r="B91" s="6">
        <v>2019</v>
      </c>
      <c r="C91" s="7">
        <v>187289</v>
      </c>
      <c r="D91" s="8">
        <v>72843</v>
      </c>
      <c r="E91" s="8">
        <v>2102</v>
      </c>
      <c r="F91" s="9">
        <v>11439</v>
      </c>
      <c r="G91" s="8">
        <v>2988</v>
      </c>
    </row>
    <row r="92" spans="1:7" x14ac:dyDescent="0.25">
      <c r="A92" s="5" t="s">
        <v>22</v>
      </c>
      <c r="B92" s="6">
        <v>2019</v>
      </c>
      <c r="C92" s="7">
        <v>67363</v>
      </c>
      <c r="D92" s="8">
        <v>55917</v>
      </c>
      <c r="E92" s="8">
        <v>440</v>
      </c>
      <c r="F92" s="10">
        <v>5956</v>
      </c>
      <c r="G92" s="8">
        <v>2844</v>
      </c>
    </row>
    <row r="93" spans="1:7" x14ac:dyDescent="0.25">
      <c r="A93" s="5" t="s">
        <v>23</v>
      </c>
      <c r="B93" s="6">
        <v>2019</v>
      </c>
      <c r="C93" s="7">
        <v>75827</v>
      </c>
      <c r="D93" s="8">
        <v>65932</v>
      </c>
      <c r="E93" s="8">
        <v>883</v>
      </c>
      <c r="F93" s="10">
        <v>6222</v>
      </c>
      <c r="G93" s="8">
        <v>2702</v>
      </c>
    </row>
    <row r="94" spans="1:7" x14ac:dyDescent="0.25">
      <c r="A94" s="5" t="s">
        <v>24</v>
      </c>
      <c r="B94" s="6">
        <v>2019</v>
      </c>
      <c r="C94" s="7">
        <v>57140</v>
      </c>
      <c r="D94" s="8">
        <v>50536</v>
      </c>
      <c r="E94" s="8">
        <v>434</v>
      </c>
      <c r="F94" s="10">
        <v>5092</v>
      </c>
      <c r="G94" s="8">
        <v>2359</v>
      </c>
    </row>
    <row r="95" spans="1:7" x14ac:dyDescent="0.25">
      <c r="A95" s="5" t="s">
        <v>25</v>
      </c>
      <c r="B95" s="6">
        <v>2019</v>
      </c>
      <c r="C95" s="7">
        <v>247592</v>
      </c>
      <c r="D95" s="8">
        <v>66547</v>
      </c>
      <c r="E95" s="8">
        <v>1415</v>
      </c>
      <c r="F95" s="9">
        <v>25051</v>
      </c>
      <c r="G95" s="8">
        <v>2975</v>
      </c>
    </row>
    <row r="96" spans="1:7" x14ac:dyDescent="0.25">
      <c r="A96" s="5" t="s">
        <v>26</v>
      </c>
      <c r="B96" s="6">
        <v>2019</v>
      </c>
      <c r="C96" s="7">
        <v>61939</v>
      </c>
      <c r="D96" s="8">
        <v>58129</v>
      </c>
      <c r="E96" s="8">
        <v>268</v>
      </c>
      <c r="F96" s="10">
        <v>8511</v>
      </c>
      <c r="G96" s="8">
        <v>2464</v>
      </c>
    </row>
    <row r="97" spans="1:7" x14ac:dyDescent="0.25">
      <c r="A97" s="5" t="s">
        <v>27</v>
      </c>
      <c r="B97" s="6">
        <v>2019</v>
      </c>
      <c r="C97" s="7">
        <v>83006</v>
      </c>
      <c r="D97" s="8">
        <v>58934</v>
      </c>
      <c r="E97" s="8">
        <v>642</v>
      </c>
      <c r="F97" s="10">
        <v>7864</v>
      </c>
      <c r="G97" s="8">
        <v>2641</v>
      </c>
    </row>
    <row r="98" spans="1:7" x14ac:dyDescent="0.25">
      <c r="A98" s="5" t="s">
        <v>28</v>
      </c>
      <c r="B98" s="6">
        <v>2019</v>
      </c>
      <c r="C98" s="7">
        <v>103466</v>
      </c>
      <c r="D98" s="8">
        <v>59626</v>
      </c>
      <c r="E98" s="8">
        <v>864</v>
      </c>
      <c r="F98" s="10">
        <v>9709</v>
      </c>
      <c r="G98" s="8">
        <v>2682</v>
      </c>
    </row>
    <row r="99" spans="1:7" x14ac:dyDescent="0.25">
      <c r="A99" s="5" t="s">
        <v>29</v>
      </c>
      <c r="B99" s="6">
        <v>2019</v>
      </c>
      <c r="C99" s="7">
        <v>41660</v>
      </c>
      <c r="D99" s="8">
        <v>49142</v>
      </c>
      <c r="E99" s="8">
        <v>214</v>
      </c>
      <c r="F99" s="9">
        <v>4235</v>
      </c>
      <c r="G99" s="8">
        <v>2484</v>
      </c>
    </row>
    <row r="100" spans="1:7" x14ac:dyDescent="0.25">
      <c r="A100" s="5" t="s">
        <v>30</v>
      </c>
      <c r="B100" s="6">
        <v>2019</v>
      </c>
      <c r="C100" s="7">
        <v>77981</v>
      </c>
      <c r="D100" s="8">
        <v>59972</v>
      </c>
      <c r="E100" s="8">
        <v>807</v>
      </c>
      <c r="F100" s="10">
        <v>6443</v>
      </c>
      <c r="G100" s="8">
        <v>2504</v>
      </c>
    </row>
    <row r="101" spans="1:7" x14ac:dyDescent="0.25">
      <c r="A101" s="5" t="s">
        <v>31</v>
      </c>
      <c r="B101" s="6">
        <v>2019</v>
      </c>
      <c r="C101" s="7">
        <v>949570</v>
      </c>
      <c r="D101" s="8">
        <v>173677</v>
      </c>
      <c r="E101" s="8">
        <v>12491</v>
      </c>
      <c r="F101" s="10">
        <v>101864</v>
      </c>
      <c r="G101" s="8">
        <v>5007</v>
      </c>
    </row>
    <row r="102" spans="1:7" x14ac:dyDescent="0.25">
      <c r="A102" s="5" t="s">
        <v>7</v>
      </c>
      <c r="B102" s="6">
        <v>2020</v>
      </c>
      <c r="C102" s="7">
        <v>135867</v>
      </c>
      <c r="D102" s="8">
        <v>70939</v>
      </c>
      <c r="E102" s="8">
        <v>1378</v>
      </c>
      <c r="F102" s="10">
        <v>9862</v>
      </c>
      <c r="G102" s="8">
        <v>2810</v>
      </c>
    </row>
    <row r="103" spans="1:7" x14ac:dyDescent="0.25">
      <c r="A103" s="5" t="s">
        <v>8</v>
      </c>
      <c r="B103" s="6">
        <v>2020</v>
      </c>
      <c r="C103" s="7">
        <v>77404</v>
      </c>
      <c r="D103" s="8">
        <v>57973</v>
      </c>
      <c r="E103" s="8">
        <v>643</v>
      </c>
      <c r="F103" s="10">
        <v>6047</v>
      </c>
      <c r="G103" s="8">
        <v>2721</v>
      </c>
    </row>
    <row r="104" spans="1:7" x14ac:dyDescent="0.25">
      <c r="A104" s="5" t="s">
        <v>9</v>
      </c>
      <c r="B104" s="6">
        <v>2020</v>
      </c>
      <c r="C104" s="7">
        <v>398732</v>
      </c>
      <c r="D104" s="8">
        <v>94804</v>
      </c>
      <c r="E104" s="8">
        <v>7592</v>
      </c>
      <c r="F104" s="9">
        <v>30827</v>
      </c>
      <c r="G104" s="8">
        <v>3641</v>
      </c>
    </row>
    <row r="105" spans="1:7" x14ac:dyDescent="0.25">
      <c r="A105" s="5" t="s">
        <v>10</v>
      </c>
      <c r="B105" s="6">
        <v>2020</v>
      </c>
      <c r="C105" s="7">
        <v>206309</v>
      </c>
      <c r="D105" s="8">
        <v>42219</v>
      </c>
      <c r="E105" s="8">
        <v>3935</v>
      </c>
      <c r="F105" s="10">
        <v>9473</v>
      </c>
      <c r="G105" s="8">
        <v>3858</v>
      </c>
    </row>
    <row r="106" spans="1:7" x14ac:dyDescent="0.25">
      <c r="A106" s="5" t="s">
        <v>11</v>
      </c>
      <c r="B106" s="6">
        <v>2020</v>
      </c>
      <c r="C106" s="7">
        <v>91365</v>
      </c>
      <c r="D106" s="8">
        <v>66651</v>
      </c>
      <c r="E106" s="8">
        <v>681</v>
      </c>
      <c r="F106" s="10">
        <v>7060</v>
      </c>
      <c r="G106" s="8">
        <v>2763</v>
      </c>
    </row>
    <row r="107" spans="1:7" x14ac:dyDescent="0.25">
      <c r="A107" s="5" t="s">
        <v>12</v>
      </c>
      <c r="B107" s="6">
        <v>2020</v>
      </c>
      <c r="C107" s="7">
        <v>62022</v>
      </c>
      <c r="D107" s="8">
        <v>52379</v>
      </c>
      <c r="E107" s="8">
        <v>1350</v>
      </c>
      <c r="F107" s="10">
        <v>6655</v>
      </c>
      <c r="G107" s="8">
        <v>2744</v>
      </c>
    </row>
    <row r="108" spans="1:7" x14ac:dyDescent="0.25">
      <c r="A108" s="5" t="s">
        <v>13</v>
      </c>
      <c r="B108" s="6">
        <v>2020</v>
      </c>
      <c r="C108" s="7">
        <v>167260</v>
      </c>
      <c r="D108" s="8">
        <v>83309</v>
      </c>
      <c r="E108" s="8">
        <v>2923</v>
      </c>
      <c r="F108" s="9">
        <v>15368</v>
      </c>
      <c r="G108" s="8">
        <v>3432</v>
      </c>
    </row>
    <row r="109" spans="1:7" x14ac:dyDescent="0.25">
      <c r="A109" s="5" t="s">
        <v>14</v>
      </c>
      <c r="B109" s="6">
        <v>2020</v>
      </c>
      <c r="C109" s="7">
        <v>90398</v>
      </c>
      <c r="D109" s="8">
        <v>61088</v>
      </c>
      <c r="E109" s="8">
        <v>758</v>
      </c>
      <c r="F109" s="10">
        <v>8124</v>
      </c>
      <c r="G109" s="8">
        <v>2875</v>
      </c>
    </row>
    <row r="110" spans="1:7" x14ac:dyDescent="0.25">
      <c r="A110" s="5" t="s">
        <v>15</v>
      </c>
      <c r="B110" s="6">
        <v>2020</v>
      </c>
      <c r="C110" s="7">
        <v>242406</v>
      </c>
      <c r="D110" s="8">
        <v>80274</v>
      </c>
      <c r="E110" s="8">
        <v>1968</v>
      </c>
      <c r="F110" s="10">
        <v>20320</v>
      </c>
      <c r="G110" s="8">
        <v>3489</v>
      </c>
    </row>
    <row r="111" spans="1:7" x14ac:dyDescent="0.25">
      <c r="A111" s="5" t="s">
        <v>16</v>
      </c>
      <c r="B111" s="6">
        <v>2020</v>
      </c>
      <c r="C111" s="7">
        <v>75208</v>
      </c>
      <c r="D111" s="8">
        <v>64510</v>
      </c>
      <c r="E111" s="8">
        <v>913</v>
      </c>
      <c r="F111" s="10">
        <v>8553</v>
      </c>
      <c r="G111" s="8">
        <v>2789</v>
      </c>
    </row>
    <row r="112" spans="1:7" x14ac:dyDescent="0.25">
      <c r="A112" s="5" t="s">
        <v>17</v>
      </c>
      <c r="B112" s="6">
        <v>2020</v>
      </c>
      <c r="C112" s="7">
        <v>43204</v>
      </c>
      <c r="D112" s="8">
        <v>27274</v>
      </c>
      <c r="E112" s="8">
        <v>130</v>
      </c>
      <c r="F112" s="9">
        <v>3408</v>
      </c>
      <c r="G112" s="8">
        <v>3377</v>
      </c>
    </row>
    <row r="113" spans="1:7" x14ac:dyDescent="0.25">
      <c r="A113" s="5" t="s">
        <v>18</v>
      </c>
      <c r="B113" s="6">
        <v>2020</v>
      </c>
      <c r="C113" s="7">
        <v>236254</v>
      </c>
      <c r="D113" s="8">
        <v>73092</v>
      </c>
      <c r="E113" s="8">
        <v>2323</v>
      </c>
      <c r="F113" s="10">
        <v>20911</v>
      </c>
      <c r="G113" s="8">
        <v>2961</v>
      </c>
    </row>
    <row r="114" spans="1:7" x14ac:dyDescent="0.25">
      <c r="A114" s="5" t="s">
        <v>19</v>
      </c>
      <c r="B114" s="6">
        <v>2020</v>
      </c>
      <c r="C114" s="7">
        <v>96648</v>
      </c>
      <c r="D114" s="8">
        <v>69884</v>
      </c>
      <c r="E114" s="8">
        <v>2249</v>
      </c>
      <c r="F114" s="10">
        <v>11482</v>
      </c>
      <c r="G114" s="8">
        <v>3344</v>
      </c>
    </row>
    <row r="115" spans="1:7" x14ac:dyDescent="0.25">
      <c r="A115" s="5" t="s">
        <v>20</v>
      </c>
      <c r="B115" s="6">
        <v>2020</v>
      </c>
      <c r="C115" s="7">
        <v>220242</v>
      </c>
      <c r="D115" s="8">
        <v>82007</v>
      </c>
      <c r="E115" s="8">
        <v>1360</v>
      </c>
      <c r="F115" s="10">
        <v>25465</v>
      </c>
      <c r="G115" s="8">
        <v>3129</v>
      </c>
    </row>
    <row r="116" spans="1:7" x14ac:dyDescent="0.25">
      <c r="A116" s="5" t="s">
        <v>21</v>
      </c>
      <c r="B116" s="6">
        <v>2020</v>
      </c>
      <c r="C116" s="7">
        <v>188424</v>
      </c>
      <c r="D116" s="8">
        <v>78813</v>
      </c>
      <c r="E116" s="8">
        <v>2317</v>
      </c>
      <c r="F116" s="9">
        <v>11104</v>
      </c>
      <c r="G116" s="8">
        <v>3179</v>
      </c>
    </row>
    <row r="117" spans="1:7" x14ac:dyDescent="0.25">
      <c r="A117" s="5" t="s">
        <v>22</v>
      </c>
      <c r="B117" s="6">
        <v>2020</v>
      </c>
      <c r="C117" s="7">
        <v>71901</v>
      </c>
      <c r="D117" s="8">
        <v>59350</v>
      </c>
      <c r="E117" s="8">
        <v>469</v>
      </c>
      <c r="F117" s="10">
        <v>6021</v>
      </c>
      <c r="G117" s="8">
        <v>3033</v>
      </c>
    </row>
    <row r="118" spans="1:7" x14ac:dyDescent="0.25">
      <c r="A118" s="5" t="s">
        <v>23</v>
      </c>
      <c r="B118" s="6">
        <v>2020</v>
      </c>
      <c r="C118" s="7">
        <v>80432</v>
      </c>
      <c r="D118" s="8">
        <v>71955</v>
      </c>
      <c r="E118" s="8">
        <v>974</v>
      </c>
      <c r="F118" s="10">
        <v>6096</v>
      </c>
      <c r="G118" s="8">
        <v>2877</v>
      </c>
    </row>
    <row r="119" spans="1:7" x14ac:dyDescent="0.25">
      <c r="A119" s="5" t="s">
        <v>24</v>
      </c>
      <c r="B119" s="6">
        <v>2020</v>
      </c>
      <c r="C119" s="7">
        <v>62661</v>
      </c>
      <c r="D119" s="8">
        <v>55776</v>
      </c>
      <c r="E119" s="8">
        <v>448</v>
      </c>
      <c r="F119" s="10">
        <v>5135</v>
      </c>
      <c r="G119" s="8">
        <v>2527</v>
      </c>
    </row>
    <row r="120" spans="1:7" x14ac:dyDescent="0.25">
      <c r="A120" s="5" t="s">
        <v>25</v>
      </c>
      <c r="B120" s="6">
        <v>2020</v>
      </c>
      <c r="C120" s="7">
        <v>257805</v>
      </c>
      <c r="D120" s="8">
        <v>75923</v>
      </c>
      <c r="E120" s="8">
        <v>1471</v>
      </c>
      <c r="F120" s="9">
        <v>25144</v>
      </c>
      <c r="G120" s="8">
        <v>3143</v>
      </c>
    </row>
    <row r="121" spans="1:7" x14ac:dyDescent="0.25">
      <c r="A121" s="5" t="s">
        <v>26</v>
      </c>
      <c r="B121" s="6">
        <v>2020</v>
      </c>
      <c r="C121" s="7">
        <v>68467</v>
      </c>
      <c r="D121" s="8">
        <v>63853</v>
      </c>
      <c r="E121" s="8">
        <v>281</v>
      </c>
      <c r="F121" s="10">
        <v>8116</v>
      </c>
      <c r="G121" s="8">
        <v>2617</v>
      </c>
    </row>
    <row r="122" spans="1:7" x14ac:dyDescent="0.25">
      <c r="A122" s="5" t="s">
        <v>27</v>
      </c>
      <c r="B122" s="6">
        <v>2020</v>
      </c>
      <c r="C122" s="7">
        <v>96380</v>
      </c>
      <c r="D122" s="8">
        <v>65411</v>
      </c>
      <c r="E122" s="8">
        <v>663</v>
      </c>
      <c r="F122" s="10">
        <v>7654</v>
      </c>
      <c r="G122" s="8">
        <v>2878</v>
      </c>
    </row>
    <row r="123" spans="1:7" x14ac:dyDescent="0.25">
      <c r="A123" s="5" t="s">
        <v>28</v>
      </c>
      <c r="B123" s="6">
        <v>2020</v>
      </c>
      <c r="C123" s="7">
        <v>108822</v>
      </c>
      <c r="D123" s="8">
        <v>64852</v>
      </c>
      <c r="E123" s="8">
        <v>811</v>
      </c>
      <c r="F123" s="10">
        <v>9286</v>
      </c>
      <c r="G123" s="8">
        <v>2829</v>
      </c>
    </row>
    <row r="124" spans="1:7" x14ac:dyDescent="0.25">
      <c r="A124" s="5" t="s">
        <v>29</v>
      </c>
      <c r="B124" s="6">
        <v>2020</v>
      </c>
      <c r="C124" s="7">
        <v>45054</v>
      </c>
      <c r="D124" s="8">
        <v>54178</v>
      </c>
      <c r="E124" s="8">
        <v>168</v>
      </c>
      <c r="F124" s="9">
        <v>4205</v>
      </c>
      <c r="G124" s="8">
        <v>2578</v>
      </c>
    </row>
    <row r="125" spans="1:7" x14ac:dyDescent="0.25">
      <c r="A125" s="5" t="s">
        <v>30</v>
      </c>
      <c r="B125" s="6">
        <v>2020</v>
      </c>
      <c r="C125" s="7">
        <v>84068</v>
      </c>
      <c r="D125" s="8">
        <v>65815</v>
      </c>
      <c r="E125" s="8">
        <v>891</v>
      </c>
      <c r="F125" s="10">
        <v>6254</v>
      </c>
      <c r="G125" s="8">
        <v>2690</v>
      </c>
    </row>
    <row r="126" spans="1:7" x14ac:dyDescent="0.25">
      <c r="A126" s="5" t="s">
        <v>31</v>
      </c>
      <c r="B126" s="6">
        <v>2020</v>
      </c>
      <c r="C126" s="7">
        <v>1014693</v>
      </c>
      <c r="D126" s="8">
        <v>182547</v>
      </c>
      <c r="E126" s="8">
        <v>12428</v>
      </c>
      <c r="F126" s="10">
        <v>101252</v>
      </c>
      <c r="G126" s="8">
        <v>5376</v>
      </c>
    </row>
    <row r="127" spans="1:7" x14ac:dyDescent="0.25">
      <c r="A127" s="5" t="s">
        <v>7</v>
      </c>
      <c r="B127" s="6">
        <v>2021</v>
      </c>
      <c r="C127" s="7">
        <v>173531</v>
      </c>
      <c r="D127" s="8">
        <v>81970</v>
      </c>
      <c r="E127" s="8">
        <v>1309</v>
      </c>
      <c r="F127" s="10">
        <v>10050</v>
      </c>
      <c r="G127" s="8">
        <v>3396</v>
      </c>
    </row>
    <row r="128" spans="1:7" x14ac:dyDescent="0.25">
      <c r="A128" s="5" t="s">
        <v>8</v>
      </c>
      <c r="B128" s="6">
        <v>2021</v>
      </c>
      <c r="C128" s="7">
        <v>92535</v>
      </c>
      <c r="D128" s="8">
        <v>65481</v>
      </c>
      <c r="E128" s="8">
        <v>833</v>
      </c>
      <c r="F128" s="10">
        <v>6280</v>
      </c>
      <c r="G128" s="8">
        <v>3291</v>
      </c>
    </row>
    <row r="129" spans="1:7" x14ac:dyDescent="0.25">
      <c r="A129" s="5" t="s">
        <v>9</v>
      </c>
      <c r="B129" s="6">
        <v>2021</v>
      </c>
      <c r="C129" s="7">
        <v>582363</v>
      </c>
      <c r="D129" s="8">
        <v>107671</v>
      </c>
      <c r="E129" s="8">
        <v>12164</v>
      </c>
      <c r="F129" s="9">
        <v>30511</v>
      </c>
      <c r="G129" s="8">
        <v>4366</v>
      </c>
    </row>
    <row r="130" spans="1:7" x14ac:dyDescent="0.25">
      <c r="A130" s="5" t="s">
        <v>10</v>
      </c>
      <c r="B130" s="6">
        <v>2021</v>
      </c>
      <c r="C130" s="7">
        <v>283326</v>
      </c>
      <c r="D130" s="8">
        <v>47604</v>
      </c>
      <c r="E130" s="8">
        <v>7038</v>
      </c>
      <c r="F130" s="10">
        <v>9202</v>
      </c>
      <c r="G130" s="8">
        <v>4980</v>
      </c>
    </row>
    <row r="131" spans="1:7" x14ac:dyDescent="0.25">
      <c r="A131" s="5" t="s">
        <v>11</v>
      </c>
      <c r="B131" s="6">
        <v>2021</v>
      </c>
      <c r="C131" s="7">
        <v>113919</v>
      </c>
      <c r="D131" s="8">
        <v>76107</v>
      </c>
      <c r="E131" s="8">
        <v>772</v>
      </c>
      <c r="F131" s="10">
        <v>7028</v>
      </c>
      <c r="G131" s="8">
        <v>3271</v>
      </c>
    </row>
    <row r="132" spans="1:7" x14ac:dyDescent="0.25">
      <c r="A132" s="5" t="s">
        <v>12</v>
      </c>
      <c r="B132" s="6">
        <v>2021</v>
      </c>
      <c r="C132" s="7">
        <v>75626</v>
      </c>
      <c r="D132" s="8">
        <v>58844</v>
      </c>
      <c r="E132" s="8">
        <v>1685</v>
      </c>
      <c r="F132" s="10">
        <v>6572</v>
      </c>
      <c r="G132" s="8">
        <v>3381</v>
      </c>
    </row>
    <row r="133" spans="1:7" x14ac:dyDescent="0.25">
      <c r="A133" s="5" t="s">
        <v>13</v>
      </c>
      <c r="B133" s="6">
        <v>2021</v>
      </c>
      <c r="C133" s="7">
        <v>228906</v>
      </c>
      <c r="D133" s="8">
        <v>93475</v>
      </c>
      <c r="E133" s="8">
        <v>4741</v>
      </c>
      <c r="F133" s="9">
        <v>15363</v>
      </c>
      <c r="G133" s="8">
        <v>4200</v>
      </c>
    </row>
    <row r="134" spans="1:7" x14ac:dyDescent="0.25">
      <c r="A134" s="5" t="s">
        <v>14</v>
      </c>
      <c r="B134" s="6">
        <v>2021</v>
      </c>
      <c r="C134" s="7">
        <v>119680</v>
      </c>
      <c r="D134" s="8">
        <v>68561</v>
      </c>
      <c r="E134" s="8">
        <v>1165</v>
      </c>
      <c r="F134" s="10">
        <v>7793</v>
      </c>
      <c r="G134" s="8">
        <v>3402</v>
      </c>
    </row>
    <row r="135" spans="1:7" x14ac:dyDescent="0.25">
      <c r="A135" s="5" t="s">
        <v>15</v>
      </c>
      <c r="B135" s="6">
        <v>2021</v>
      </c>
      <c r="C135" s="7">
        <v>291519</v>
      </c>
      <c r="D135" s="8">
        <v>96293</v>
      </c>
      <c r="E135" s="8">
        <v>2551</v>
      </c>
      <c r="F135" s="10">
        <v>20262</v>
      </c>
      <c r="G135" s="8">
        <v>4153</v>
      </c>
    </row>
    <row r="136" spans="1:7" x14ac:dyDescent="0.25">
      <c r="A136" s="5" t="s">
        <v>16</v>
      </c>
      <c r="B136" s="6">
        <v>2021</v>
      </c>
      <c r="C136" s="7">
        <v>99564</v>
      </c>
      <c r="D136" s="8">
        <v>73146</v>
      </c>
      <c r="E136" s="8">
        <v>1022</v>
      </c>
      <c r="F136" s="10">
        <v>8347</v>
      </c>
      <c r="G136" s="8">
        <v>3282</v>
      </c>
    </row>
    <row r="137" spans="1:7" x14ac:dyDescent="0.25">
      <c r="A137" s="5" t="s">
        <v>17</v>
      </c>
      <c r="B137" s="6">
        <v>2021</v>
      </c>
      <c r="C137" s="7">
        <v>52135</v>
      </c>
      <c r="D137" s="8">
        <v>31390</v>
      </c>
      <c r="E137" s="8">
        <v>168</v>
      </c>
      <c r="F137" s="9">
        <v>3356</v>
      </c>
      <c r="G137" s="8">
        <v>3427</v>
      </c>
    </row>
    <row r="138" spans="1:7" x14ac:dyDescent="0.25">
      <c r="A138" s="5" t="s">
        <v>18</v>
      </c>
      <c r="B138" s="6">
        <v>2021</v>
      </c>
      <c r="C138" s="7">
        <v>296182</v>
      </c>
      <c r="D138" s="8">
        <v>85195</v>
      </c>
      <c r="E138" s="8">
        <v>2933</v>
      </c>
      <c r="F138" s="10">
        <v>21186</v>
      </c>
      <c r="G138" s="8">
        <v>3646</v>
      </c>
    </row>
    <row r="139" spans="1:7" x14ac:dyDescent="0.25">
      <c r="A139" s="5" t="s">
        <v>19</v>
      </c>
      <c r="B139" s="6">
        <v>2021</v>
      </c>
      <c r="C139" s="7">
        <v>124162</v>
      </c>
      <c r="D139" s="8">
        <v>81870</v>
      </c>
      <c r="E139" s="8">
        <v>3457</v>
      </c>
      <c r="F139" s="10">
        <v>11481</v>
      </c>
      <c r="G139" s="8">
        <v>3984</v>
      </c>
    </row>
    <row r="140" spans="1:7" x14ac:dyDescent="0.25">
      <c r="A140" s="5" t="s">
        <v>20</v>
      </c>
      <c r="B140" s="6">
        <v>2021</v>
      </c>
      <c r="C140" s="7">
        <v>271669</v>
      </c>
      <c r="D140" s="8">
        <v>93001</v>
      </c>
      <c r="E140" s="8">
        <v>1698</v>
      </c>
      <c r="F140" s="10">
        <v>23962</v>
      </c>
      <c r="G140" s="8">
        <v>3897</v>
      </c>
    </row>
    <row r="141" spans="1:7" x14ac:dyDescent="0.25">
      <c r="A141" s="5" t="s">
        <v>21</v>
      </c>
      <c r="B141" s="6">
        <v>2021</v>
      </c>
      <c r="C141" s="7">
        <v>266694</v>
      </c>
      <c r="D141" s="8">
        <v>92260</v>
      </c>
      <c r="E141" s="8">
        <v>3190</v>
      </c>
      <c r="F141" s="9">
        <v>11254</v>
      </c>
      <c r="G141" s="8">
        <v>3783</v>
      </c>
    </row>
    <row r="142" spans="1:7" x14ac:dyDescent="0.25">
      <c r="A142" s="5" t="s">
        <v>22</v>
      </c>
      <c r="B142" s="6">
        <v>2021</v>
      </c>
      <c r="C142" s="7">
        <v>88859</v>
      </c>
      <c r="D142" s="8">
        <v>67727</v>
      </c>
      <c r="E142" s="8">
        <v>704</v>
      </c>
      <c r="F142" s="10">
        <v>6163</v>
      </c>
      <c r="G142" s="8">
        <v>3573</v>
      </c>
    </row>
    <row r="143" spans="1:7" x14ac:dyDescent="0.25">
      <c r="A143" s="5" t="s">
        <v>23</v>
      </c>
      <c r="B143" s="6">
        <v>2021</v>
      </c>
      <c r="C143" s="7">
        <v>105254</v>
      </c>
      <c r="D143" s="8">
        <v>83307</v>
      </c>
      <c r="E143" s="8">
        <v>1061</v>
      </c>
      <c r="F143" s="10">
        <v>6132</v>
      </c>
      <c r="G143" s="8">
        <v>3449</v>
      </c>
    </row>
    <row r="144" spans="1:7" x14ac:dyDescent="0.25">
      <c r="A144" s="5" t="s">
        <v>24</v>
      </c>
      <c r="B144" s="6">
        <v>2021</v>
      </c>
      <c r="C144" s="7">
        <v>81485</v>
      </c>
      <c r="D144" s="8">
        <v>65084</v>
      </c>
      <c r="E144" s="8">
        <v>679</v>
      </c>
      <c r="F144" s="10">
        <v>5136</v>
      </c>
      <c r="G144" s="8">
        <v>2994</v>
      </c>
    </row>
    <row r="145" spans="1:7" x14ac:dyDescent="0.25">
      <c r="A145" s="5" t="s">
        <v>25</v>
      </c>
      <c r="B145" s="6">
        <v>2021</v>
      </c>
      <c r="C145" s="7">
        <v>319796</v>
      </c>
      <c r="D145" s="8">
        <v>88863</v>
      </c>
      <c r="E145" s="8">
        <v>1801</v>
      </c>
      <c r="F145" s="9">
        <v>25808</v>
      </c>
      <c r="G145" s="8">
        <v>3697</v>
      </c>
    </row>
    <row r="146" spans="1:7" x14ac:dyDescent="0.25">
      <c r="A146" s="5" t="s">
        <v>26</v>
      </c>
      <c r="B146" s="6">
        <v>2021</v>
      </c>
      <c r="C146" s="7">
        <v>88182</v>
      </c>
      <c r="D146" s="8">
        <v>73624</v>
      </c>
      <c r="E146" s="8">
        <v>413</v>
      </c>
      <c r="F146" s="10">
        <v>7811</v>
      </c>
      <c r="G146" s="8">
        <v>3123</v>
      </c>
    </row>
    <row r="147" spans="1:7" x14ac:dyDescent="0.25">
      <c r="A147" s="5" t="s">
        <v>27</v>
      </c>
      <c r="B147" s="6">
        <v>2021</v>
      </c>
      <c r="C147" s="7">
        <v>119876</v>
      </c>
      <c r="D147" s="8">
        <v>75606</v>
      </c>
      <c r="E147" s="8">
        <v>918</v>
      </c>
      <c r="F147" s="10">
        <v>7698</v>
      </c>
      <c r="G147" s="8">
        <v>3371</v>
      </c>
    </row>
    <row r="148" spans="1:7" x14ac:dyDescent="0.25">
      <c r="A148" s="5" t="s">
        <v>28</v>
      </c>
      <c r="B148" s="6">
        <v>2021</v>
      </c>
      <c r="C148" s="7">
        <v>131154</v>
      </c>
      <c r="D148" s="8">
        <v>76673</v>
      </c>
      <c r="E148" s="8">
        <v>884</v>
      </c>
      <c r="F148" s="10">
        <v>9238</v>
      </c>
      <c r="G148" s="8">
        <v>3360</v>
      </c>
    </row>
    <row r="149" spans="1:7" x14ac:dyDescent="0.25">
      <c r="A149" s="5" t="s">
        <v>29</v>
      </c>
      <c r="B149" s="6">
        <v>2021</v>
      </c>
      <c r="C149" s="7">
        <v>54582</v>
      </c>
      <c r="D149" s="8">
        <v>61612</v>
      </c>
      <c r="E149" s="8">
        <v>207</v>
      </c>
      <c r="F149" s="9">
        <v>4090</v>
      </c>
      <c r="G149" s="8">
        <v>3050</v>
      </c>
    </row>
    <row r="150" spans="1:7" x14ac:dyDescent="0.25">
      <c r="A150" s="5" t="s">
        <v>30</v>
      </c>
      <c r="B150" s="6">
        <v>2021</v>
      </c>
      <c r="C150" s="7">
        <v>113474</v>
      </c>
      <c r="D150" s="8">
        <v>73742</v>
      </c>
      <c r="E150" s="8">
        <v>1190</v>
      </c>
      <c r="F150" s="10">
        <v>6192</v>
      </c>
      <c r="G150" s="8">
        <v>3295</v>
      </c>
    </row>
    <row r="151" spans="1:7" x14ac:dyDescent="0.25">
      <c r="A151" s="5" t="s">
        <v>31</v>
      </c>
      <c r="B151" s="6">
        <v>2021</v>
      </c>
      <c r="C151" s="7">
        <v>1276376</v>
      </c>
      <c r="D151" s="8">
        <v>211620</v>
      </c>
      <c r="E151" s="8">
        <v>15331</v>
      </c>
      <c r="F151" s="10">
        <v>99919</v>
      </c>
      <c r="G151" s="8">
        <v>6732</v>
      </c>
    </row>
    <row r="152" spans="1:7" x14ac:dyDescent="0.25">
      <c r="A152" s="5"/>
      <c r="B152" s="6"/>
      <c r="C152" s="7"/>
      <c r="D152" s="8"/>
      <c r="E152" s="8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C78AD-16B3-4652-8A15-BBAC7A2CE3CD}">
  <sheetPr codeName="Sheet5"/>
  <dimension ref="A1:F27"/>
  <sheetViews>
    <sheetView workbookViewId="0"/>
  </sheetViews>
  <sheetFormatPr defaultRowHeight="15" x14ac:dyDescent="0.25"/>
  <cols>
    <col min="1" max="1" width="22.28515625" customWidth="1"/>
  </cols>
  <sheetData>
    <row r="1" spans="1:6" x14ac:dyDescent="0.25">
      <c r="A1" s="1" t="s">
        <v>0</v>
      </c>
      <c r="B1" t="s">
        <v>2</v>
      </c>
      <c r="C1" t="s">
        <v>3</v>
      </c>
      <c r="D1" t="s">
        <v>4</v>
      </c>
      <c r="E1" t="s">
        <v>5</v>
      </c>
      <c r="F1" t="s">
        <v>6</v>
      </c>
    </row>
    <row r="2" spans="1:6" x14ac:dyDescent="0.25">
      <c r="A2" s="5" t="s">
        <v>7</v>
      </c>
      <c r="B2">
        <f>AVERAGEIF(Data!A:A, A2, Data!C:C)</f>
        <v>119447.16666666667</v>
      </c>
      <c r="C2">
        <f>AVERAGEIF(Data!A:A, A2, Data!D:D)</f>
        <v>58961.833333333336</v>
      </c>
      <c r="D2">
        <f>AVERAGEIF(Data!A:A, A2, Data!E:E)</f>
        <v>1295.3333333333333</v>
      </c>
      <c r="E2">
        <f>AVERAGEIF(Data!A:A, A2, Data!F:F)</f>
        <v>9625.3333333333339</v>
      </c>
      <c r="F2">
        <f>AVERAGEIF(Data!A:A, A2, Data!G:G)</f>
        <v>2524.1666666666665</v>
      </c>
    </row>
    <row r="3" spans="1:6" x14ac:dyDescent="0.25">
      <c r="A3" s="5" t="s">
        <v>8</v>
      </c>
      <c r="B3">
        <f>AVERAGEIF(Data!A:A, A3, Data!C:C)</f>
        <v>65614</v>
      </c>
      <c r="C3">
        <f>AVERAGEIF(Data!A:A, A3, Data!D:D)</f>
        <v>48741</v>
      </c>
      <c r="D3">
        <f>AVERAGEIF(Data!A:A, A3, Data!E:E)</f>
        <v>698.5</v>
      </c>
      <c r="E3">
        <f>AVERAGEIF(Data!A:A, A3, Data!F:F)</f>
        <v>5862.333333333333</v>
      </c>
      <c r="F3">
        <f>AVERAGEIF(Data!A:A, A3, Data!G:G)</f>
        <v>2436.1666666666665</v>
      </c>
    </row>
    <row r="4" spans="1:6" x14ac:dyDescent="0.25">
      <c r="A4" s="5" t="s">
        <v>9</v>
      </c>
      <c r="B4">
        <f>AVERAGEIF(Data!A:A, A4, Data!C:C)</f>
        <v>383130.16666666669</v>
      </c>
      <c r="C4">
        <f>AVERAGEIF(Data!A:A, A4, Data!D:D)</f>
        <v>77683.166666666672</v>
      </c>
      <c r="D4">
        <f>AVERAGEIF(Data!A:A, A4, Data!E:E)</f>
        <v>8050.666666666667</v>
      </c>
      <c r="E4">
        <f>AVERAGEIF(Data!A:A, A4, Data!F:F)</f>
        <v>29187.333333333332</v>
      </c>
      <c r="F4">
        <f>AVERAGEIF(Data!A:A, A4, Data!G:G)</f>
        <v>3273.3333333333335</v>
      </c>
    </row>
    <row r="5" spans="1:6" x14ac:dyDescent="0.25">
      <c r="A5" s="5" t="s">
        <v>10</v>
      </c>
      <c r="B5">
        <f>AVERAGEIF(Data!A:A, A5, Data!C:C)</f>
        <v>198353.5</v>
      </c>
      <c r="C5">
        <f>AVERAGEIF(Data!A:A, A5, Data!D:D)</f>
        <v>34626.5</v>
      </c>
      <c r="D5">
        <f>AVERAGEIF(Data!A:A, A5, Data!E:E)</f>
        <v>4719</v>
      </c>
      <c r="E5">
        <f>AVERAGEIF(Data!A:A, A5, Data!F:F)</f>
        <v>9939.6666666666661</v>
      </c>
      <c r="F5">
        <f>AVERAGEIF(Data!A:A, A5, Data!G:G)</f>
        <v>3616.8333333333335</v>
      </c>
    </row>
    <row r="6" spans="1:6" x14ac:dyDescent="0.25">
      <c r="A6" s="5" t="s">
        <v>11</v>
      </c>
      <c r="B6">
        <f>AVERAGEIF(Data!A:A, A6, Data!C:C)</f>
        <v>79499.5</v>
      </c>
      <c r="C6">
        <f>AVERAGEIF(Data!A:A, A6, Data!D:D)</f>
        <v>55521.333333333336</v>
      </c>
      <c r="D6">
        <f>AVERAGEIF(Data!A:A, A6, Data!E:E)</f>
        <v>651.5</v>
      </c>
      <c r="E6">
        <f>AVERAGEIF(Data!A:A, A6, Data!F:F)</f>
        <v>6788</v>
      </c>
      <c r="F6">
        <f>AVERAGEIF(Data!A:A, A6, Data!G:G)</f>
        <v>2470</v>
      </c>
    </row>
    <row r="7" spans="1:6" x14ac:dyDescent="0.25">
      <c r="A7" s="5" t="s">
        <v>12</v>
      </c>
      <c r="B7">
        <f>AVERAGEIF(Data!A:A, A7, Data!C:C)</f>
        <v>54474.166666666664</v>
      </c>
      <c r="C7">
        <f>AVERAGEIF(Data!A:A, A7, Data!D:D)</f>
        <v>43382.333333333336</v>
      </c>
      <c r="D7">
        <f>AVERAGEIF(Data!A:A, A7, Data!E:E)</f>
        <v>1473.6666666666667</v>
      </c>
      <c r="E7">
        <f>AVERAGEIF(Data!A:A, A7, Data!F:F)</f>
        <v>6147.5</v>
      </c>
      <c r="F7">
        <f>AVERAGEIF(Data!A:A, A7, Data!G:G)</f>
        <v>2490.6666666666665</v>
      </c>
    </row>
    <row r="8" spans="1:6" x14ac:dyDescent="0.25">
      <c r="A8" s="5" t="s">
        <v>13</v>
      </c>
      <c r="B8">
        <f>AVERAGEIF(Data!A:A, A8, Data!C:C)</f>
        <v>155479.5</v>
      </c>
      <c r="C8">
        <f>AVERAGEIF(Data!A:A, A8, Data!D:D)</f>
        <v>69758.666666666672</v>
      </c>
      <c r="D8">
        <f>AVERAGEIF(Data!A:A, A8, Data!E:E)</f>
        <v>3232.6666666666665</v>
      </c>
      <c r="E8">
        <f>AVERAGEIF(Data!A:A, A8, Data!F:F)</f>
        <v>14904.333333333334</v>
      </c>
      <c r="F8">
        <f>AVERAGEIF(Data!A:A, A8, Data!G:G)</f>
        <v>3082.5</v>
      </c>
    </row>
    <row r="9" spans="1:6" x14ac:dyDescent="0.25">
      <c r="A9" s="5" t="s">
        <v>14</v>
      </c>
      <c r="B9">
        <f>AVERAGEIF(Data!A:A, A9, Data!C:C)</f>
        <v>81734.833333333328</v>
      </c>
      <c r="C9">
        <f>AVERAGEIF(Data!A:A, A9, Data!D:D)</f>
        <v>51138.333333333336</v>
      </c>
      <c r="D9">
        <f>AVERAGEIF(Data!A:A, A9, Data!E:E)</f>
        <v>824</v>
      </c>
      <c r="E9">
        <f>AVERAGEIF(Data!A:A, A9, Data!F:F)</f>
        <v>7889.333333333333</v>
      </c>
      <c r="F9">
        <f>AVERAGEIF(Data!A:A, A9, Data!G:G)</f>
        <v>2605.8333333333335</v>
      </c>
    </row>
    <row r="10" spans="1:6" x14ac:dyDescent="0.25">
      <c r="A10" s="5" t="s">
        <v>15</v>
      </c>
      <c r="B10">
        <f>AVERAGEIF(Data!A:A, A10, Data!C:C)</f>
        <v>206030.16666666666</v>
      </c>
      <c r="C10">
        <f>AVERAGEIF(Data!A:A, A10, Data!D:D)</f>
        <v>67848</v>
      </c>
      <c r="D10">
        <f>AVERAGEIF(Data!A:A, A10, Data!E:E)</f>
        <v>1962.6666666666667</v>
      </c>
      <c r="E10">
        <f>AVERAGEIF(Data!A:A, A10, Data!F:F)</f>
        <v>19813.666666666668</v>
      </c>
      <c r="F10">
        <f>AVERAGEIF(Data!A:A, A10, Data!G:G)</f>
        <v>3201</v>
      </c>
    </row>
    <row r="11" spans="1:6" x14ac:dyDescent="0.25">
      <c r="A11" s="5" t="s">
        <v>16</v>
      </c>
      <c r="B11">
        <f>AVERAGEIF(Data!A:A, A11, Data!C:C)</f>
        <v>68542.333333333328</v>
      </c>
      <c r="C11">
        <f>AVERAGEIF(Data!A:A, A11, Data!D:D)</f>
        <v>53684.5</v>
      </c>
      <c r="D11">
        <f>AVERAGEIF(Data!A:A, A11, Data!E:E)</f>
        <v>667.83333333333337</v>
      </c>
      <c r="E11">
        <f>AVERAGEIF(Data!A:A, A11, Data!F:F)</f>
        <v>8110.5</v>
      </c>
      <c r="F11">
        <f>AVERAGEIF(Data!A:A, A11, Data!G:G)</f>
        <v>2506</v>
      </c>
    </row>
    <row r="12" spans="1:6" x14ac:dyDescent="0.25">
      <c r="A12" s="5" t="s">
        <v>17</v>
      </c>
      <c r="B12">
        <f>AVERAGEIF(Data!A:A, A12, Data!C:C)</f>
        <v>38742.5</v>
      </c>
      <c r="C12">
        <f>AVERAGEIF(Data!A:A, A12, Data!D:D)</f>
        <v>22411.166666666668</v>
      </c>
      <c r="D12">
        <f>AVERAGEIF(Data!A:A, A12, Data!E:E)</f>
        <v>220.66666666666666</v>
      </c>
      <c r="E12">
        <f>AVERAGEIF(Data!A:A, A12, Data!F:F)</f>
        <v>3479.8333333333335</v>
      </c>
      <c r="F12">
        <f>AVERAGEIF(Data!A:A, A12, Data!G:G)</f>
        <v>3040.6666666666665</v>
      </c>
    </row>
    <row r="13" spans="1:6" x14ac:dyDescent="0.25">
      <c r="A13" s="5" t="s">
        <v>18</v>
      </c>
      <c r="B13">
        <f>AVERAGEIF(Data!A:A, A13, Data!C:C)</f>
        <v>197703.16666666666</v>
      </c>
      <c r="C13">
        <f>AVERAGEIF(Data!A:A, A13, Data!D:D)</f>
        <v>60242.833333333336</v>
      </c>
      <c r="D13">
        <f>AVERAGEIF(Data!A:A, A13, Data!E:E)</f>
        <v>2035.8333333333333</v>
      </c>
      <c r="E13">
        <f>AVERAGEIF(Data!A:A, A13, Data!F:F)</f>
        <v>19221.5</v>
      </c>
      <c r="F13">
        <f>AVERAGEIF(Data!A:A, A13, Data!G:G)</f>
        <v>2693.1666666666665</v>
      </c>
    </row>
    <row r="14" spans="1:6" x14ac:dyDescent="0.25">
      <c r="A14" s="5" t="s">
        <v>19</v>
      </c>
      <c r="B14">
        <f>AVERAGEIF(Data!A:A, A14, Data!C:C)</f>
        <v>86709</v>
      </c>
      <c r="C14">
        <f>AVERAGEIF(Data!A:A, A14, Data!D:D)</f>
        <v>58720.833333333336</v>
      </c>
      <c r="D14">
        <f>AVERAGEIF(Data!A:A, A14, Data!E:E)</f>
        <v>2256.5</v>
      </c>
      <c r="E14">
        <f>AVERAGEIF(Data!A:A, A14, Data!F:F)</f>
        <v>11254.5</v>
      </c>
      <c r="F14">
        <f>AVERAGEIF(Data!A:A, A14, Data!G:G)</f>
        <v>2969</v>
      </c>
    </row>
    <row r="15" spans="1:6" x14ac:dyDescent="0.25">
      <c r="A15" s="5" t="s">
        <v>20</v>
      </c>
      <c r="B15">
        <f>AVERAGEIF(Data!A:A, A15, Data!C:C)</f>
        <v>188580</v>
      </c>
      <c r="C15">
        <f>AVERAGEIF(Data!A:A, A15, Data!D:D)</f>
        <v>66784.166666666672</v>
      </c>
      <c r="D15">
        <f>AVERAGEIF(Data!A:A, A15, Data!E:E)</f>
        <v>1574.1666666666667</v>
      </c>
      <c r="E15">
        <f>AVERAGEIF(Data!A:A, A15, Data!F:F)</f>
        <v>24171.5</v>
      </c>
      <c r="F15">
        <f>AVERAGEIF(Data!A:A, A15, Data!G:G)</f>
        <v>2851</v>
      </c>
    </row>
    <row r="16" spans="1:6" x14ac:dyDescent="0.25">
      <c r="A16" s="5" t="s">
        <v>21</v>
      </c>
      <c r="B16">
        <f>AVERAGEIF(Data!A:A, A16, Data!C:C)</f>
        <v>180551.83333333334</v>
      </c>
      <c r="C16">
        <f>AVERAGEIF(Data!A:A, A16, Data!D:D)</f>
        <v>65122.5</v>
      </c>
      <c r="D16">
        <f>AVERAGEIF(Data!A:A, A16, Data!E:E)</f>
        <v>2136</v>
      </c>
      <c r="E16">
        <f>AVERAGEIF(Data!A:A, A16, Data!F:F)</f>
        <v>10655.333333333334</v>
      </c>
      <c r="F16">
        <f>AVERAGEIF(Data!A:A, A16, Data!G:G)</f>
        <v>2897.1666666666665</v>
      </c>
    </row>
    <row r="17" spans="1:6" x14ac:dyDescent="0.25">
      <c r="A17" s="5" t="s">
        <v>22</v>
      </c>
      <c r="B17">
        <f>AVERAGEIF(Data!A:A, A17, Data!C:C)</f>
        <v>62203.833333333336</v>
      </c>
      <c r="C17">
        <f>AVERAGEIF(Data!A:A, A17, Data!D:D)</f>
        <v>50390.5</v>
      </c>
      <c r="D17">
        <f>AVERAGEIF(Data!A:A, A17, Data!E:E)</f>
        <v>454.16666666666669</v>
      </c>
      <c r="E17">
        <f>AVERAGEIF(Data!A:A, A17, Data!F:F)</f>
        <v>5610.333333333333</v>
      </c>
      <c r="F17">
        <f>AVERAGEIF(Data!A:A, A17, Data!G:G)</f>
        <v>2699.3333333333335</v>
      </c>
    </row>
    <row r="18" spans="1:6" x14ac:dyDescent="0.25">
      <c r="A18" s="5" t="s">
        <v>23</v>
      </c>
      <c r="B18">
        <f>AVERAGEIF(Data!A:A, A18, Data!C:C)</f>
        <v>72124.833333333328</v>
      </c>
      <c r="C18">
        <f>AVERAGEIF(Data!A:A, A18, Data!D:D)</f>
        <v>59844</v>
      </c>
      <c r="D18">
        <f>AVERAGEIF(Data!A:A, A18, Data!E:E)</f>
        <v>822.5</v>
      </c>
      <c r="E18">
        <f>AVERAGEIF(Data!A:A, A18, Data!F:F)</f>
        <v>5898.5</v>
      </c>
      <c r="F18">
        <f>AVERAGEIF(Data!A:A, A18, Data!G:G)</f>
        <v>2595.6666666666665</v>
      </c>
    </row>
    <row r="19" spans="1:6" x14ac:dyDescent="0.25">
      <c r="A19" s="5" t="s">
        <v>24</v>
      </c>
      <c r="B19">
        <f>AVERAGEIF(Data!A:A, A19, Data!C:C)</f>
        <v>53700</v>
      </c>
      <c r="C19">
        <f>AVERAGEIF(Data!A:A, A19, Data!D:D)</f>
        <v>46551.333333333336</v>
      </c>
      <c r="D19">
        <f>AVERAGEIF(Data!A:A, A19, Data!E:E)</f>
        <v>448</v>
      </c>
      <c r="E19">
        <f>AVERAGEIF(Data!A:A, A19, Data!F:F)</f>
        <v>4894.166666666667</v>
      </c>
      <c r="F19">
        <f>AVERAGEIF(Data!A:A, A19, Data!G:G)</f>
        <v>2265.8333333333335</v>
      </c>
    </row>
    <row r="20" spans="1:6" x14ac:dyDescent="0.25">
      <c r="A20" s="5" t="s">
        <v>25</v>
      </c>
      <c r="B20">
        <f>AVERAGEIF(Data!A:A, A20, Data!C:C)</f>
        <v>233430.16666666666</v>
      </c>
      <c r="C20">
        <f>AVERAGEIF(Data!A:A, A20, Data!D:D)</f>
        <v>63003</v>
      </c>
      <c r="D20">
        <f>AVERAGEIF(Data!A:A, A20, Data!E:E)</f>
        <v>1364.3333333333333</v>
      </c>
      <c r="E20">
        <f>AVERAGEIF(Data!A:A, A20, Data!F:F)</f>
        <v>23804.666666666668</v>
      </c>
      <c r="F20">
        <f>AVERAGEIF(Data!A:A, A20, Data!G:G)</f>
        <v>2839.1666666666665</v>
      </c>
    </row>
    <row r="21" spans="1:6" x14ac:dyDescent="0.25">
      <c r="A21" s="5" t="s">
        <v>26</v>
      </c>
      <c r="B21">
        <f>AVERAGEIF(Data!A:A, A21, Data!C:C)</f>
        <v>60050.333333333336</v>
      </c>
      <c r="C21">
        <f>AVERAGEIF(Data!A:A, A21, Data!D:D)</f>
        <v>53396.333333333336</v>
      </c>
      <c r="D21">
        <f>AVERAGEIF(Data!A:A, A21, Data!E:E)</f>
        <v>294.66666666666669</v>
      </c>
      <c r="E21">
        <f>AVERAGEIF(Data!A:A, A21, Data!F:F)</f>
        <v>7989</v>
      </c>
      <c r="F21">
        <f>AVERAGEIF(Data!A:A, A21, Data!G:G)</f>
        <v>2362.6666666666665</v>
      </c>
    </row>
    <row r="22" spans="1:6" x14ac:dyDescent="0.25">
      <c r="A22" s="5" t="s">
        <v>27</v>
      </c>
      <c r="B22">
        <f>AVERAGEIF(Data!A:A, A22, Data!C:C)</f>
        <v>81261.166666666672</v>
      </c>
      <c r="C22">
        <f>AVERAGEIF(Data!A:A, A22, Data!D:D)</f>
        <v>55078.666666666664</v>
      </c>
      <c r="D22">
        <f>AVERAGEIF(Data!A:A, A22, Data!E:E)</f>
        <v>608</v>
      </c>
      <c r="E22">
        <f>AVERAGEIF(Data!A:A, A22, Data!F:F)</f>
        <v>7304.833333333333</v>
      </c>
      <c r="F22">
        <f>AVERAGEIF(Data!A:A, A22, Data!G:G)</f>
        <v>2529.3333333333335</v>
      </c>
    </row>
    <row r="23" spans="1:6" x14ac:dyDescent="0.25">
      <c r="A23" s="5" t="s">
        <v>28</v>
      </c>
      <c r="B23">
        <f>AVERAGEIF(Data!A:A, A23, Data!C:C)</f>
        <v>94869</v>
      </c>
      <c r="C23">
        <f>AVERAGEIF(Data!A:A, A23, Data!D:D)</f>
        <v>54270.833333333336</v>
      </c>
      <c r="D23">
        <f>AVERAGEIF(Data!A:A, A23, Data!E:E)</f>
        <v>739.5</v>
      </c>
      <c r="E23">
        <f>AVERAGEIF(Data!A:A, A23, Data!F:F)</f>
        <v>9053.8333333333339</v>
      </c>
      <c r="F23">
        <f>AVERAGEIF(Data!A:A, A23, Data!G:G)</f>
        <v>2561.5</v>
      </c>
    </row>
    <row r="24" spans="1:6" x14ac:dyDescent="0.25">
      <c r="A24" s="5" t="s">
        <v>29</v>
      </c>
      <c r="B24">
        <f>AVERAGEIF(Data!A:A, A24, Data!C:C)</f>
        <v>37503.166666666664</v>
      </c>
      <c r="C24">
        <f>AVERAGEIF(Data!A:A, A24, Data!D:D)</f>
        <v>45393</v>
      </c>
      <c r="D24">
        <f>AVERAGEIF(Data!A:A, A24, Data!E:E)</f>
        <v>176.33333333333334</v>
      </c>
      <c r="E24">
        <f>AVERAGEIF(Data!A:A, A24, Data!F:F)</f>
        <v>4008.5</v>
      </c>
      <c r="F24">
        <f>AVERAGEIF(Data!A:A, A24, Data!G:G)</f>
        <v>2366.3333333333335</v>
      </c>
    </row>
    <row r="25" spans="1:6" x14ac:dyDescent="0.25">
      <c r="A25" s="5" t="s">
        <v>30</v>
      </c>
      <c r="B25">
        <f>AVERAGEIF(Data!A:A, A25, Data!C:C)</f>
        <v>74351.166666666672</v>
      </c>
      <c r="C25">
        <f>AVERAGEIF(Data!A:A, A25, Data!D:D)</f>
        <v>54359.333333333336</v>
      </c>
      <c r="D25">
        <f>AVERAGEIF(Data!A:A, A25, Data!E:E)</f>
        <v>783.5</v>
      </c>
      <c r="E25">
        <f>AVERAGEIF(Data!A:A, A25, Data!F:F)</f>
        <v>6022.333333333333</v>
      </c>
      <c r="F25">
        <f>AVERAGEIF(Data!A:A, A25, Data!G:G)</f>
        <v>2413.6666666666665</v>
      </c>
    </row>
    <row r="26" spans="1:6" x14ac:dyDescent="0.25">
      <c r="A26" s="5" t="s">
        <v>31</v>
      </c>
      <c r="B26">
        <f>AVERAGEIF(Data!A:A, A26, Data!C:C)</f>
        <v>888742.66666666663</v>
      </c>
      <c r="C26">
        <f>AVERAGEIF(Data!A:A, A26, Data!D:D)</f>
        <v>153246.66666666666</v>
      </c>
      <c r="D26">
        <f>AVERAGEIF(Data!A:A, A26, Data!E:E)</f>
        <v>11467.5</v>
      </c>
      <c r="E26">
        <f>AVERAGEIF(Data!A:A, A26, Data!F:F)</f>
        <v>92655.666666666672</v>
      </c>
      <c r="F26">
        <f>AVERAGEIF(Data!A:A, A26, Data!G:G)</f>
        <v>4860.833333333333</v>
      </c>
    </row>
    <row r="27" spans="1:6" x14ac:dyDescent="0.25">
      <c r="A27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C9FE2-4E31-482A-BFFA-EA3C672F31D3}">
  <sheetPr codeName="Sheet6"/>
  <dimension ref="A1:F27"/>
  <sheetViews>
    <sheetView workbookViewId="0"/>
  </sheetViews>
  <sheetFormatPr defaultRowHeight="15" x14ac:dyDescent="0.25"/>
  <cols>
    <col min="1" max="1" width="22.28515625" customWidth="1"/>
  </cols>
  <sheetData>
    <row r="1" spans="1:6" x14ac:dyDescent="0.25">
      <c r="A1" s="1" t="s">
        <v>0</v>
      </c>
      <c r="B1" t="s">
        <v>2</v>
      </c>
      <c r="C1" t="s">
        <v>3</v>
      </c>
      <c r="D1" t="s">
        <v>4</v>
      </c>
      <c r="E1" t="s">
        <v>5</v>
      </c>
      <c r="F1" t="s">
        <v>6</v>
      </c>
    </row>
    <row r="2" spans="1:6" x14ac:dyDescent="0.25">
      <c r="A2" s="5" t="s">
        <v>7</v>
      </c>
      <c r="B2">
        <f>STANDARDIZE('Data_mean by region'!B2,AVERAGE('Data_mean by region'!B:B),_xlfn.STDEV.P('Data_mean by region'!B:B))</f>
        <v>-0.18250631887268526</v>
      </c>
      <c r="C2">
        <f>STANDARDIZE('Data_mean by region'!C2,AVERAGE('Data_mean by region'!C:C),_xlfn.STDEV.P('Data_mean by region'!C:C))</f>
        <v>6.9692166874280054E-3</v>
      </c>
      <c r="D2">
        <f>STANDARDIZE('Data_mean by region'!D2,AVERAGE('Data_mean by region'!D:D),_xlfn.STDEV.P('Data_mean by region'!D:D))</f>
        <v>-0.25898701314458406</v>
      </c>
      <c r="E2">
        <f>STANDARDIZE('Data_mean by region'!E2,AVERAGE('Data_mean by region'!E:E),_xlfn.STDEV.P('Data_mean by region'!E:E))</f>
        <v>-0.26104618160784937</v>
      </c>
      <c r="F2">
        <f>STANDARDIZE('Data_mean by region'!F2,AVERAGE('Data_mean by region'!F:F),_xlfn.STDEV.P('Data_mean by region'!F:F))</f>
        <v>-0.53189644433182726</v>
      </c>
    </row>
    <row r="3" spans="1:6" x14ac:dyDescent="0.25">
      <c r="A3" s="5" t="s">
        <v>8</v>
      </c>
      <c r="B3">
        <f>STANDARDIZE('Data_mean by region'!B3,AVERAGE('Data_mean by region'!B:B),_xlfn.STDEV.P('Data_mean by region'!B:B))</f>
        <v>-0.49876543597684314</v>
      </c>
      <c r="C3">
        <f>STANDARDIZE('Data_mean by region'!C3,AVERAGE('Data_mean by region'!C:C),_xlfn.STDEV.P('Data_mean by region'!C:C))</f>
        <v>-0.45140402801066137</v>
      </c>
      <c r="D3">
        <f>STANDARDIZE('Data_mean by region'!D3,AVERAGE('Data_mean by region'!D:D),_xlfn.STDEV.P('Data_mean by region'!D:D))</f>
        <v>-0.49213913091590356</v>
      </c>
      <c r="E3">
        <f>STANDARDIZE('Data_mean by region'!E3,AVERAGE('Data_mean by region'!E:E),_xlfn.STDEV.P('Data_mean by region'!E:E))</f>
        <v>-0.4771125162025816</v>
      </c>
      <c r="F3">
        <f>STANDARDIZE('Data_mean by region'!F3,AVERAGE('Data_mean by region'!F:F),_xlfn.STDEV.P('Data_mean by region'!F:F))</f>
        <v>-0.697933266570396</v>
      </c>
    </row>
    <row r="4" spans="1:6" x14ac:dyDescent="0.25">
      <c r="A4" s="5" t="s">
        <v>9</v>
      </c>
      <c r="B4">
        <f>STANDARDIZE('Data_mean by region'!B4,AVERAGE('Data_mean by region'!B:B),_xlfn.STDEV.P('Data_mean by region'!B:B))</f>
        <v>1.3665787143696901</v>
      </c>
      <c r="C4">
        <f>STANDARDIZE('Data_mean by region'!C4,AVERAGE('Data_mean by region'!C:C),_xlfn.STDEV.P('Data_mean by region'!C:C))</f>
        <v>0.84656399582231556</v>
      </c>
      <c r="D4">
        <f>STANDARDIZE('Data_mean by region'!D4,AVERAGE('Data_mean by region'!D:D),_xlfn.STDEV.P('Data_mean by region'!D:D))</f>
        <v>2.3799746281587182</v>
      </c>
      <c r="E4">
        <f>STANDARDIZE('Data_mean by region'!E4,AVERAGE('Data_mean by region'!E:E),_xlfn.STDEV.P('Data_mean by region'!E:E))</f>
        <v>0.86217721391225433</v>
      </c>
      <c r="F4">
        <f>STANDARDIZE('Data_mean by region'!F4,AVERAGE('Data_mean by region'!F:F),_xlfn.STDEV.P('Data_mean by region'!F:F))</f>
        <v>0.88161779044538258</v>
      </c>
    </row>
    <row r="5" spans="1:6" x14ac:dyDescent="0.25">
      <c r="A5" s="5" t="s">
        <v>10</v>
      </c>
      <c r="B5">
        <f>STANDARDIZE('Data_mean by region'!B5,AVERAGE('Data_mean by region'!B:B),_xlfn.STDEV.P('Data_mean by region'!B:B))</f>
        <v>0.28105265153762032</v>
      </c>
      <c r="C5">
        <f>STANDARDIZE('Data_mean by region'!C5,AVERAGE('Data_mean by region'!C:C),_xlfn.STDEV.P('Data_mean by region'!C:C))</f>
        <v>-1.0843963634977725</v>
      </c>
      <c r="D5">
        <f>STANDARDIZE('Data_mean by region'!D5,AVERAGE('Data_mean by region'!D:D),_xlfn.STDEV.P('Data_mean by region'!D:D))</f>
        <v>1.078463644006616</v>
      </c>
      <c r="E5">
        <f>STANDARDIZE('Data_mean by region'!E5,AVERAGE('Data_mean by region'!E:E),_xlfn.STDEV.P('Data_mean by region'!E:E))</f>
        <v>-0.2429975897464948</v>
      </c>
      <c r="F5">
        <f>STANDARDIZE('Data_mean by region'!F5,AVERAGE('Data_mean by region'!F:F),_xlfn.STDEV.P('Data_mean by region'!F:F))</f>
        <v>1.5297274317970686</v>
      </c>
    </row>
    <row r="6" spans="1:6" x14ac:dyDescent="0.25">
      <c r="A6" s="5" t="s">
        <v>11</v>
      </c>
      <c r="B6">
        <f>STANDARDIZE('Data_mean by region'!B6,AVERAGE('Data_mean by region'!B:B),_xlfn.STDEV.P('Data_mean by region'!B:B))</f>
        <v>-0.41719089294946937</v>
      </c>
      <c r="C6">
        <f>STANDARDIZE('Data_mean by region'!C6,AVERAGE('Data_mean by region'!C:C),_xlfn.STDEV.P('Data_mean by region'!C:C))</f>
        <v>-0.14732672934278246</v>
      </c>
      <c r="D6">
        <f>STANDARDIZE('Data_mean by region'!D6,AVERAGE('Data_mean by region'!D:D),_xlfn.STDEV.P('Data_mean by region'!D:D))</f>
        <v>-0.51049961603500782</v>
      </c>
      <c r="E6">
        <f>STANDARDIZE('Data_mean by region'!E6,AVERAGE('Data_mean by region'!E:E),_xlfn.STDEV.P('Data_mean by region'!E:E))</f>
        <v>-0.4239619970095998</v>
      </c>
      <c r="F6">
        <f>STANDARDIZE('Data_mean by region'!F6,AVERAGE('Data_mean by region'!F:F),_xlfn.STDEV.P('Data_mean by region'!F:F))</f>
        <v>-0.63409713983852178</v>
      </c>
    </row>
    <row r="7" spans="1:6" x14ac:dyDescent="0.25">
      <c r="A7" s="5" t="s">
        <v>12</v>
      </c>
      <c r="B7">
        <f>STANDARDIZE('Data_mean by region'!B7,AVERAGE('Data_mean by region'!B:B),_xlfn.STDEV.P('Data_mean by region'!B:B))</f>
        <v>-0.56420973496267546</v>
      </c>
      <c r="C7">
        <f>STANDARDIZE('Data_mean by region'!C7,AVERAGE('Data_mean by region'!C:C),_xlfn.STDEV.P('Data_mean by region'!C:C))</f>
        <v>-0.69172390674744011</v>
      </c>
      <c r="D7">
        <f>STANDARDIZE('Data_mean by region'!D7,AVERAGE('Data_mean by region'!D:D),_xlfn.STDEV.P('Data_mean by region'!D:D))</f>
        <v>-0.1893213426572028</v>
      </c>
      <c r="E7">
        <f>STANDARDIZE('Data_mean by region'!E7,AVERAGE('Data_mean by region'!E:E),_xlfn.STDEV.P('Data_mean by region'!E:E))</f>
        <v>-0.4607386346146824</v>
      </c>
      <c r="F7">
        <f>STANDARDIZE('Data_mean by region'!F7,AVERAGE('Data_mean by region'!F:F),_xlfn.STDEV.P('Data_mean by region'!F:F))</f>
        <v>-0.59510364370673696</v>
      </c>
    </row>
    <row r="8" spans="1:6" x14ac:dyDescent="0.25">
      <c r="A8" s="5" t="s">
        <v>13</v>
      </c>
      <c r="B8">
        <f>STANDARDIZE('Data_mean by region'!B8,AVERAGE('Data_mean by region'!B:B),_xlfn.STDEV.P('Data_mean by region'!B:B))</f>
        <v>2.9176452786720191E-2</v>
      </c>
      <c r="C8">
        <f>STANDARDIZE('Data_mean by region'!C8,AVERAGE('Data_mean by region'!C:C),_xlfn.STDEV.P('Data_mean by region'!C:C))</f>
        <v>0.49117430702231474</v>
      </c>
      <c r="D8">
        <f>STANDARDIZE('Data_mean by region'!D8,AVERAGE('Data_mean by region'!D:D),_xlfn.STDEV.P('Data_mean by region'!D:D))</f>
        <v>0.49782957914076048</v>
      </c>
      <c r="E8">
        <f>STANDARDIZE('Data_mean by region'!E8,AVERAGE('Data_mean by region'!E:E),_xlfn.STDEV.P('Data_mean by region'!E:E))</f>
        <v>4.2066808114603747E-2</v>
      </c>
      <c r="F8">
        <f>STANDARDIZE('Data_mean by region'!F8,AVERAGE('Data_mean by region'!F:F),_xlfn.STDEV.P('Data_mean by region'!F:F))</f>
        <v>0.52155687858333455</v>
      </c>
    </row>
    <row r="9" spans="1:6" x14ac:dyDescent="0.25">
      <c r="A9" s="5" t="s">
        <v>14</v>
      </c>
      <c r="B9">
        <f>STANDARDIZE('Data_mean by region'!B9,AVERAGE('Data_mean by region'!B:B),_xlfn.STDEV.P('Data_mean by region'!B:B))</f>
        <v>-0.40405875545492309</v>
      </c>
      <c r="C9">
        <f>STANDARDIZE('Data_mean by region'!C9,AVERAGE('Data_mean by region'!C:C),_xlfn.STDEV.P('Data_mean by region'!C:C))</f>
        <v>-0.34389092973528718</v>
      </c>
      <c r="D9">
        <f>STANDARDIZE('Data_mean by region'!D9,AVERAGE('Data_mean by region'!D:D),_xlfn.STDEV.P('Data_mean by region'!D:D))</f>
        <v>-0.4431127291616998</v>
      </c>
      <c r="E9">
        <f>STANDARDIZE('Data_mean by region'!E9,AVERAGE('Data_mean by region'!E:E),_xlfn.STDEV.P('Data_mean by region'!E:E))</f>
        <v>-0.36072493708392039</v>
      </c>
      <c r="F9">
        <f>STANDARDIZE('Data_mean by region'!F9,AVERAGE('Data_mean by region'!F:F),_xlfn.STDEV.P('Data_mean by region'!F:F))</f>
        <v>-0.37780924187557918</v>
      </c>
    </row>
    <row r="10" spans="1:6" x14ac:dyDescent="0.25">
      <c r="A10" s="5" t="s">
        <v>15</v>
      </c>
      <c r="B10">
        <f>STANDARDIZE('Data_mean by region'!B10,AVERAGE('Data_mean by region'!B:B),_xlfn.STDEV.P('Data_mean by region'!B:B))</f>
        <v>0.32615153708778455</v>
      </c>
      <c r="C10">
        <f>STANDARDIZE('Data_mean by region'!C10,AVERAGE('Data_mean by region'!C:C),_xlfn.STDEV.P('Data_mean by region'!C:C))</f>
        <v>0.40548672647247519</v>
      </c>
      <c r="D10">
        <f>STANDARDIZE('Data_mean by region'!D10,AVERAGE('Data_mean by region'!D:D),_xlfn.STDEV.P('Data_mean by region'!D:D))</f>
        <v>1.7058323053919086E-3</v>
      </c>
      <c r="E10">
        <f>STANDARDIZE('Data_mean by region'!E10,AVERAGE('Data_mean by region'!E:E),_xlfn.STDEV.P('Data_mean by region'!E:E))</f>
        <v>0.32395404134263239</v>
      </c>
      <c r="F10">
        <f>STANDARDIZE('Data_mean by region'!F10,AVERAGE('Data_mean by region'!F:F),_xlfn.STDEV.P('Data_mean by region'!F:F))</f>
        <v>0.74514055398413448</v>
      </c>
    </row>
    <row r="11" spans="1:6" x14ac:dyDescent="0.25">
      <c r="A11" s="5" t="s">
        <v>16</v>
      </c>
      <c r="B11">
        <f>STANDARDIZE('Data_mean by region'!B11,AVERAGE('Data_mean by region'!B:B),_xlfn.STDEV.P('Data_mean by region'!B:B))</f>
        <v>-0.48156206170162857</v>
      </c>
      <c r="C11">
        <f>STANDARDIZE('Data_mean by region'!C11,AVERAGE('Data_mean by region'!C:C),_xlfn.STDEV.P('Data_mean by region'!C:C))</f>
        <v>-0.22970310977193287</v>
      </c>
      <c r="D11">
        <f>STANDARDIZE('Data_mean by region'!D11,AVERAGE('Data_mean by region'!D:D),_xlfn.STDEV.P('Data_mean by region'!D:D))</f>
        <v>-0.50411902191560276</v>
      </c>
      <c r="E11">
        <f>STANDARDIZE('Data_mean by region'!E11,AVERAGE('Data_mean by region'!E:E),_xlfn.STDEV.P('Data_mean by region'!E:E))</f>
        <v>-0.34802584832463213</v>
      </c>
      <c r="F11">
        <f>STANDARDIZE('Data_mean by region'!F11,AVERAGE('Data_mean by region'!F:F),_xlfn.STDEV.P('Data_mean by region'!F:F))</f>
        <v>-0.56617298528638005</v>
      </c>
    </row>
    <row r="12" spans="1:6" x14ac:dyDescent="0.25">
      <c r="A12" s="5" t="s">
        <v>17</v>
      </c>
      <c r="B12">
        <f>STANDARDIZE('Data_mean by region'!B12,AVERAGE('Data_mean by region'!B:B),_xlfn.STDEV.P('Data_mean by region'!B:B))</f>
        <v>-0.65663013893749089</v>
      </c>
      <c r="C12">
        <f>STANDARDIZE('Data_mean by region'!C12,AVERAGE('Data_mean by region'!C:C),_xlfn.STDEV.P('Data_mean by region'!C:C))</f>
        <v>-1.6322168584086956</v>
      </c>
      <c r="D12">
        <f>STANDARDIZE('Data_mean by region'!D12,AVERAGE('Data_mean by region'!D:D),_xlfn.STDEV.P('Data_mean by region'!D:D))</f>
        <v>-0.67880406296012952</v>
      </c>
      <c r="E12">
        <f>STANDARDIZE('Data_mean by region'!E12,AVERAGE('Data_mean by region'!E:E),_xlfn.STDEV.P('Data_mean by region'!E:E))</f>
        <v>-0.61391242111141742</v>
      </c>
      <c r="F12">
        <f>STANDARDIZE('Data_mean by region'!F12,AVERAGE('Data_mean by region'!F:F),_xlfn.STDEV.P('Data_mean by region'!F:F))</f>
        <v>0.44262649528431769</v>
      </c>
    </row>
    <row r="13" spans="1:6" x14ac:dyDescent="0.25">
      <c r="A13" s="5" t="s">
        <v>18</v>
      </c>
      <c r="B13">
        <f>STANDARDIZE('Data_mean by region'!B13,AVERAGE('Data_mean by region'!B:B),_xlfn.STDEV.P('Data_mean by region'!B:B))</f>
        <v>0.27723207291372226</v>
      </c>
      <c r="C13">
        <f>STANDARDIZE('Data_mean by region'!C13,AVERAGE('Data_mean by region'!C:C),_xlfn.STDEV.P('Data_mean by region'!C:C))</f>
        <v>6.4418165056763746E-2</v>
      </c>
      <c r="D13">
        <f>STANDARDIZE('Data_mean by region'!D13,AVERAGE('Data_mean by region'!D:D),_xlfn.STDEV.P('Data_mean by region'!D:D))</f>
        <v>3.0288289636195898E-2</v>
      </c>
      <c r="E13">
        <f>STANDARDIZE('Data_mean by region'!E13,AVERAGE('Data_mean by region'!E:E),_xlfn.STDEV.P('Data_mean by region'!E:E))</f>
        <v>0.28995263790499026</v>
      </c>
      <c r="F13">
        <f>STANDARDIZE('Data_mean by region'!F13,AVERAGE('Data_mean by region'!F:F),_xlfn.STDEV.P('Data_mean by region'!F:F))</f>
        <v>-0.21303027435093957</v>
      </c>
    </row>
    <row r="14" spans="1:6" x14ac:dyDescent="0.25">
      <c r="A14" s="5" t="s">
        <v>19</v>
      </c>
      <c r="B14">
        <f>STANDARDIZE('Data_mean by region'!B14,AVERAGE('Data_mean by region'!B:B),_xlfn.STDEV.P('Data_mean by region'!B:B))</f>
        <v>-0.37483651838925541</v>
      </c>
      <c r="C14">
        <f>STANDARDIZE('Data_mean by region'!C14,AVERAGE('Data_mean by region'!C:C),_xlfn.STDEV.P('Data_mean by region'!C:C))</f>
        <v>-3.8388992821347676E-3</v>
      </c>
      <c r="D14">
        <f>STANDARDIZE('Data_mean by region'!D14,AVERAGE('Data_mean by region'!D:D),_xlfn.STDEV.P('Data_mean by region'!D:D))</f>
        <v>0.11649141835142271</v>
      </c>
      <c r="E14">
        <f>STANDARDIZE('Data_mean by region'!E14,AVERAGE('Data_mean by region'!E:E),_xlfn.STDEV.P('Data_mean by region'!E:E))</f>
        <v>-0.16750165061912112</v>
      </c>
      <c r="F14">
        <f>STANDARDIZE('Data_mean by region'!F14,AVERAGE('Data_mean by region'!F:F),_xlfn.STDEV.P('Data_mean by region'!F:F))</f>
        <v>0.30740711353699873</v>
      </c>
    </row>
    <row r="15" spans="1:6" x14ac:dyDescent="0.25">
      <c r="A15" s="5" t="s">
        <v>20</v>
      </c>
      <c r="B15">
        <f>STANDARDIZE('Data_mean by region'!B15,AVERAGE('Data_mean by region'!B:B),_xlfn.STDEV.P('Data_mean by region'!B:B))</f>
        <v>0.22363528836898847</v>
      </c>
      <c r="C15">
        <f>STANDARDIZE('Data_mean by region'!C15,AVERAGE('Data_mean by region'!C:C),_xlfn.STDEV.P('Data_mean by region'!C:C))</f>
        <v>0.35777704166354096</v>
      </c>
      <c r="D15">
        <f>STANDARDIZE('Data_mean by region'!D15,AVERAGE('Data_mean by region'!D:D),_xlfn.STDEV.P('Data_mean by region'!D:D))</f>
        <v>-0.15006115639188425</v>
      </c>
      <c r="E15">
        <f>STANDARDIZE('Data_mean by region'!E15,AVERAGE('Data_mean by region'!E:E),_xlfn.STDEV.P('Data_mean by region'!E:E))</f>
        <v>0.5741748957428654</v>
      </c>
      <c r="F15">
        <f>STANDARDIZE('Data_mean by region'!F15,AVERAGE('Data_mean by region'!F:F),_xlfn.STDEV.P('Data_mean by region'!F:F))</f>
        <v>8.4766829171645186E-2</v>
      </c>
    </row>
    <row r="16" spans="1:6" x14ac:dyDescent="0.25">
      <c r="A16" s="5" t="s">
        <v>21</v>
      </c>
      <c r="B16">
        <f>STANDARDIZE('Data_mean by region'!B16,AVERAGE('Data_mean by region'!B:B),_xlfn.STDEV.P('Data_mean by region'!B:B))</f>
        <v>0.17647141042574355</v>
      </c>
      <c r="C16">
        <f>STANDARDIZE('Data_mean by region'!C16,AVERAGE('Data_mean by region'!C:C),_xlfn.STDEV.P('Data_mean by region'!C:C))</f>
        <v>0.28325635271710864</v>
      </c>
      <c r="D16">
        <f>STANDARDIZE('Data_mean by region'!D16,AVERAGE('Data_mean by region'!D:D),_xlfn.STDEV.P('Data_mean by region'!D:D))</f>
        <v>6.9418259694996001E-2</v>
      </c>
      <c r="E16">
        <f>STANDARDIZE('Data_mean by region'!E16,AVERAGE('Data_mean by region'!E:E),_xlfn.STDEV.P('Data_mean by region'!E:E))</f>
        <v>-0.2019049845223925</v>
      </c>
      <c r="F16">
        <f>STANDARDIZE('Data_mean by region'!F16,AVERAGE('Data_mean by region'!F:F),_xlfn.STDEV.P('Data_mean by region'!F:F))</f>
        <v>0.17187326811119708</v>
      </c>
    </row>
    <row r="17" spans="1:6" x14ac:dyDescent="0.25">
      <c r="A17" s="5" t="s">
        <v>22</v>
      </c>
      <c r="B17">
        <f>STANDARDIZE('Data_mean by region'!B17,AVERAGE('Data_mean by region'!B:B),_xlfn.STDEV.P('Data_mean by region'!B:B))</f>
        <v>-0.5187994849833979</v>
      </c>
      <c r="C17">
        <f>STANDARDIZE('Data_mean by region'!C17,AVERAGE('Data_mean by region'!C:C),_xlfn.STDEV.P('Data_mean by region'!C:C))</f>
        <v>-0.37742897700736761</v>
      </c>
      <c r="D17">
        <f>STANDARDIZE('Data_mean by region'!D17,AVERAGE('Data_mean by region'!D:D),_xlfn.STDEV.P('Data_mean by region'!D:D))</f>
        <v>-0.58758761029394169</v>
      </c>
      <c r="E17">
        <f>STANDARDIZE('Data_mean by region'!E17,AVERAGE('Data_mean by region'!E:E),_xlfn.STDEV.P('Data_mean by region'!E:E))</f>
        <v>-0.49158201296523707</v>
      </c>
      <c r="F17">
        <f>STANDARDIZE('Data_mean by region'!F17,AVERAGE('Data_mean by region'!F:F),_xlfn.STDEV.P('Data_mean by region'!F:F))</f>
        <v>-0.20139511824709991</v>
      </c>
    </row>
    <row r="18" spans="1:6" x14ac:dyDescent="0.25">
      <c r="A18" s="5" t="s">
        <v>23</v>
      </c>
      <c r="B18">
        <f>STANDARDIZE('Data_mean by region'!B18,AVERAGE('Data_mean by region'!B:B),_xlfn.STDEV.P('Data_mean by region'!B:B))</f>
        <v>-0.4605155887337436</v>
      </c>
      <c r="C18">
        <f>STANDARDIZE('Data_mean by region'!C18,AVERAGE('Data_mean by region'!C:C),_xlfn.STDEV.P('Data_mean by region'!C:C))</f>
        <v>4.6531704811145574E-2</v>
      </c>
      <c r="D18">
        <f>STANDARDIZE('Data_mean by region'!D18,AVERAGE('Data_mean by region'!D:D),_xlfn.STDEV.P('Data_mean by region'!D:D))</f>
        <v>-0.44369870209103296</v>
      </c>
      <c r="E18">
        <f>STANDARDIZE('Data_mean by region'!E18,AVERAGE('Data_mean by region'!E:E),_xlfn.STDEV.P('Data_mean by region'!E:E))</f>
        <v>-0.47503587546349674</v>
      </c>
      <c r="F18">
        <f>STANDARDIZE('Data_mean by region'!F18,AVERAGE('Data_mean by region'!F:F),_xlfn.STDEV.P('Data_mean by region'!F:F))</f>
        <v>-0.39699152626299017</v>
      </c>
    </row>
    <row r="19" spans="1:6" x14ac:dyDescent="0.25">
      <c r="A19" s="5" t="s">
        <v>24</v>
      </c>
      <c r="B19">
        <f>STANDARDIZE('Data_mean by region'!B19,AVERAGE('Data_mean by region'!B:B),_xlfn.STDEV.P('Data_mean by region'!B:B))</f>
        <v>-0.56875780972126222</v>
      </c>
      <c r="C19">
        <f>STANDARDIZE('Data_mean by region'!C19,AVERAGE('Data_mean by region'!C:C),_xlfn.STDEV.P('Data_mean by region'!C:C))</f>
        <v>-0.54960390879082432</v>
      </c>
      <c r="D19">
        <f>STANDARDIZE('Data_mean by region'!D19,AVERAGE('Data_mean by region'!D:D),_xlfn.STDEV.P('Data_mean by region'!D:D))</f>
        <v>-0.58999661011453342</v>
      </c>
      <c r="E19">
        <f>STANDARDIZE('Data_mean by region'!E19,AVERAGE('Data_mean by region'!E:E),_xlfn.STDEV.P('Data_mean by region'!E:E))</f>
        <v>-0.53270332750831273</v>
      </c>
      <c r="F19">
        <f>STANDARDIZE('Data_mean by region'!F19,AVERAGE('Data_mean by region'!F:F),_xlfn.STDEV.P('Data_mean by region'!F:F))</f>
        <v>-1.0193151459791403</v>
      </c>
    </row>
    <row r="20" spans="1:6" x14ac:dyDescent="0.25">
      <c r="A20" s="5" t="s">
        <v>25</v>
      </c>
      <c r="B20">
        <f>STANDARDIZE('Data_mean by region'!B20,AVERAGE('Data_mean by region'!B:B),_xlfn.STDEV.P('Data_mean by region'!B:B))</f>
        <v>0.48712107213874001</v>
      </c>
      <c r="C20">
        <f>STANDARDIZE('Data_mean by region'!C20,AVERAGE('Data_mean by region'!C:C),_xlfn.STDEV.P('Data_mean by region'!C:C))</f>
        <v>0.18820323322545596</v>
      </c>
      <c r="D20">
        <f>STANDARDIZE('Data_mean by region'!D20,AVERAGE('Data_mean by region'!D:D),_xlfn.STDEV.P('Data_mean by region'!D:D))</f>
        <v>-0.23203225839526084</v>
      </c>
      <c r="E20">
        <f>STANDARDIZE('Data_mean by region'!E20,AVERAGE('Data_mean by region'!E:E),_xlfn.STDEV.P('Data_mean by region'!E:E))</f>
        <v>0.55311182538929093</v>
      </c>
      <c r="F20">
        <f>STANDARDIZE('Data_mean by region'!F20,AVERAGE('Data_mean by region'!F:F),_xlfn.STDEV.P('Data_mean by region'!F:F))</f>
        <v>6.2439907999413118E-2</v>
      </c>
    </row>
    <row r="21" spans="1:6" x14ac:dyDescent="0.25">
      <c r="A21" s="5" t="s">
        <v>26</v>
      </c>
      <c r="B21">
        <f>STANDARDIZE('Data_mean by region'!B21,AVERAGE('Data_mean by region'!B:B),_xlfn.STDEV.P('Data_mean by region'!B:B))</f>
        <v>-0.53145086796632601</v>
      </c>
      <c r="C21">
        <f>STANDARDIZE('Data_mean by region'!C21,AVERAGE('Data_mean by region'!C:C),_xlfn.STDEV.P('Data_mean by region'!C:C))</f>
        <v>-0.24262650708270317</v>
      </c>
      <c r="D21">
        <f>STANDARDIZE('Data_mean by region'!D21,AVERAGE('Data_mean by region'!D:D),_xlfn.STDEV.P('Data_mean by region'!D:D))</f>
        <v>-0.64989606511302933</v>
      </c>
      <c r="E21">
        <f>STANDARDIZE('Data_mean by region'!E21,AVERAGE('Data_mean by region'!E:E),_xlfn.STDEV.P('Data_mean by region'!E:E))</f>
        <v>-0.35500221283519817</v>
      </c>
      <c r="F21">
        <f>STANDARDIZE('Data_mean by region'!F21,AVERAGE('Data_mean by region'!F:F),_xlfn.STDEV.P('Data_mean by region'!F:F))</f>
        <v>-0.83661174878101885</v>
      </c>
    </row>
    <row r="22" spans="1:6" x14ac:dyDescent="0.25">
      <c r="A22" s="5" t="s">
        <v>27</v>
      </c>
      <c r="B22">
        <f>STANDARDIZE('Data_mean by region'!B22,AVERAGE('Data_mean by region'!B:B),_xlfn.STDEV.P('Data_mean by region'!B:B))</f>
        <v>-0.40684145264844379</v>
      </c>
      <c r="C22">
        <f>STANDARDIZE('Data_mean by region'!C22,AVERAGE('Data_mean by region'!C:C),_xlfn.STDEV.P('Data_mean by region'!C:C))</f>
        <v>-0.16717898108217322</v>
      </c>
      <c r="D22">
        <f>STANDARDIZE('Data_mean by region'!D22,AVERAGE('Data_mean by region'!D:D),_xlfn.STDEV.P('Data_mean by region'!D:D))</f>
        <v>-0.52749283098566802</v>
      </c>
      <c r="E22">
        <f>STANDARDIZE('Data_mean by region'!E22,AVERAGE('Data_mean by region'!E:E),_xlfn.STDEV.P('Data_mean by region'!E:E))</f>
        <v>-0.39428613096396847</v>
      </c>
      <c r="F22">
        <f>STANDARDIZE('Data_mean by region'!F22,AVERAGE('Data_mean by region'!F:F),_xlfn.STDEV.P('Data_mean by region'!F:F))</f>
        <v>-0.52214807029888044</v>
      </c>
    </row>
    <row r="23" spans="1:6" x14ac:dyDescent="0.25">
      <c r="A23" s="5" t="s">
        <v>28</v>
      </c>
      <c r="B23">
        <f>STANDARDIZE('Data_mean by region'!B23,AVERAGE('Data_mean by region'!B:B),_xlfn.STDEV.P('Data_mean by region'!B:B))</f>
        <v>-0.32689814590692706</v>
      </c>
      <c r="C23">
        <f>STANDARDIZE('Data_mean by region'!C23,AVERAGE('Data_mean by region'!C:C),_xlfn.STDEV.P('Data_mean by region'!C:C))</f>
        <v>-0.20340784560808639</v>
      </c>
      <c r="D23">
        <f>STANDARDIZE('Data_mean by region'!D23,AVERAGE('Data_mean by region'!D:D),_xlfn.STDEV.P('Data_mean by region'!D:D))</f>
        <v>-0.47612253751413186</v>
      </c>
      <c r="E23">
        <f>STANDARDIZE('Data_mean by region'!E23,AVERAGE('Data_mean by region'!E:E),_xlfn.STDEV.P('Data_mean by region'!E:E))</f>
        <v>-0.29386093319458584</v>
      </c>
      <c r="F23">
        <f>STANDARDIZE('Data_mean by region'!F23,AVERAGE('Data_mean by region'!F:F),_xlfn.STDEV.P('Data_mean by region'!F:F))</f>
        <v>-0.46145658035182813</v>
      </c>
    </row>
    <row r="24" spans="1:6" x14ac:dyDescent="0.25">
      <c r="A24" s="5" t="s">
        <v>29</v>
      </c>
      <c r="B24">
        <f>STANDARDIZE('Data_mean by region'!B24,AVERAGE('Data_mean by region'!B:B),_xlfn.STDEV.P('Data_mean by region'!B:B))</f>
        <v>-0.66391097508492958</v>
      </c>
      <c r="C24">
        <f>STANDARDIZE('Data_mean by region'!C24,AVERAGE('Data_mean by region'!C:C),_xlfn.STDEV.P('Data_mean by region'!C:C))</f>
        <v>-0.60155163077454588</v>
      </c>
      <c r="D24">
        <f>STANDARDIZE('Data_mean by region'!D24,AVERAGE('Data_mean by region'!D:D),_xlfn.STDEV.P('Data_mean by region'!D:D))</f>
        <v>-0.69612281842708601</v>
      </c>
      <c r="E24">
        <f>STANDARDIZE('Data_mean by region'!E24,AVERAGE('Data_mean by region'!E:E),_xlfn.STDEV.P('Data_mean by region'!E:E))</f>
        <v>-0.58355710118341275</v>
      </c>
      <c r="F24">
        <f>STANDARDIZE('Data_mean by region'!F24,AVERAGE('Data_mean by region'!F:F),_xlfn.STDEV.P('Data_mean by region'!F:F))</f>
        <v>-0.82969354785441118</v>
      </c>
    </row>
    <row r="25" spans="1:6" x14ac:dyDescent="0.25">
      <c r="A25" s="5" t="s">
        <v>30</v>
      </c>
      <c r="B25">
        <f>STANDARDIZE('Data_mean by region'!B25,AVERAGE('Data_mean by region'!B:B),_xlfn.STDEV.P('Data_mean by region'!B:B))</f>
        <v>-0.44743632444414094</v>
      </c>
      <c r="C25">
        <f>STANDARDIZE('Data_mean by region'!C25,AVERAGE('Data_mean by region'!C:C),_xlfn.STDEV.P('Data_mean by region'!C:C))</f>
        <v>-0.19943889015868263</v>
      </c>
      <c r="D25">
        <f>STANDARDIZE('Data_mean by region'!D25,AVERAGE('Data_mean by region'!D:D),_xlfn.STDEV.P('Data_mean by region'!D:D))</f>
        <v>-0.45893399825369385</v>
      </c>
      <c r="E25">
        <f>STANDARDIZE('Data_mean by region'!E25,AVERAGE('Data_mean by region'!E:E),_xlfn.STDEV.P('Data_mean by region'!E:E))</f>
        <v>-0.46792553413105431</v>
      </c>
      <c r="F25">
        <f>STANDARDIZE('Data_mean by region'!F25,AVERAGE('Data_mean by region'!F:F),_xlfn.STDEV.P('Data_mean by region'!F:F))</f>
        <v>-0.7403858631654846</v>
      </c>
    </row>
    <row r="26" spans="1:6" x14ac:dyDescent="0.25">
      <c r="A26" s="5" t="s">
        <v>31</v>
      </c>
      <c r="B26">
        <f>STANDARDIZE('Data_mean by region'!B26,AVERAGE('Data_mean by region'!B:B),_xlfn.STDEV.P('Data_mean by region'!B:B))</f>
        <v>4.336951307105136</v>
      </c>
      <c r="C26">
        <f>STANDARDIZE('Data_mean by region'!C26,AVERAGE('Data_mean by region'!C:C),_xlfn.STDEV.P('Data_mean by region'!C:C))</f>
        <v>4.2353568218225499</v>
      </c>
      <c r="D26">
        <f>STANDARDIZE('Data_mean by region'!D26,AVERAGE('Data_mean by region'!D:D),_xlfn.STDEV.P('Data_mean by region'!D:D))</f>
        <v>3.7147558530762899</v>
      </c>
      <c r="E26">
        <f>STANDARDIZE('Data_mean by region'!E26,AVERAGE('Data_mean by region'!E:E),_xlfn.STDEV.P('Data_mean by region'!E:E))</f>
        <v>4.5064424666813201</v>
      </c>
      <c r="F26">
        <f>STANDARDIZE('Data_mean by region'!F26,AVERAGE('Data_mean by region'!F:F),_xlfn.STDEV.P('Data_mean by region'!F:F))</f>
        <v>3.8768843279877441</v>
      </c>
    </row>
    <row r="27" spans="1:6" x14ac:dyDescent="0.25">
      <c r="A27" s="5"/>
    </row>
  </sheetData>
  <conditionalFormatting sqref="B2:F26">
    <cfRule type="colorScale" priority="1">
      <colorScale>
        <cfvo type="min"/>
        <cfvo type="num" val="0"/>
        <cfvo type="max"/>
        <color rgb="FFFFEF9C"/>
        <color theme="0"/>
        <color theme="4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9142E-2B39-4363-8E1A-EC49655E79FE}">
  <sheetPr codeName="Sheet7"/>
  <dimension ref="A1:C27"/>
  <sheetViews>
    <sheetView workbookViewId="0"/>
  </sheetViews>
  <sheetFormatPr defaultRowHeight="15" x14ac:dyDescent="0.25"/>
  <cols>
    <col min="1" max="1" width="22.28515625" customWidth="1"/>
  </cols>
  <sheetData>
    <row r="1" spans="1:3" x14ac:dyDescent="0.25">
      <c r="A1" s="1" t="s">
        <v>0</v>
      </c>
      <c r="B1" t="s">
        <v>37</v>
      </c>
      <c r="C1" t="s">
        <v>38</v>
      </c>
    </row>
    <row r="2" spans="1:3" x14ac:dyDescent="0.25">
      <c r="A2" s="5" t="s">
        <v>7</v>
      </c>
      <c r="B2">
        <f>AVERAGE(Data_standardisation!C2:G2)</f>
        <v>-0.26124010559920818</v>
      </c>
      <c r="C2">
        <v>2</v>
      </c>
    </row>
    <row r="3" spans="1:3" x14ac:dyDescent="0.25">
      <c r="A3" s="5" t="s">
        <v>8</v>
      </c>
      <c r="B3">
        <f>AVERAGE(Data_standardisation!C3:G3)</f>
        <v>-0.52964723542488568</v>
      </c>
      <c r="C3">
        <v>2</v>
      </c>
    </row>
    <row r="4" spans="1:3" x14ac:dyDescent="0.25">
      <c r="A4" s="5" t="s">
        <v>9</v>
      </c>
      <c r="B4">
        <f>AVERAGE(Data_standardisation!C4:G4)</f>
        <v>1.2425834070846675</v>
      </c>
      <c r="C4">
        <v>1</v>
      </c>
    </row>
    <row r="5" spans="1:3" x14ac:dyDescent="0.25">
      <c r="A5" s="5" t="s">
        <v>10</v>
      </c>
      <c r="B5">
        <f>AVERAGE(Data_standardisation!C5:G5)</f>
        <v>0.32019928063985431</v>
      </c>
      <c r="C5">
        <v>1</v>
      </c>
    </row>
    <row r="6" spans="1:3" x14ac:dyDescent="0.25">
      <c r="A6" s="5" t="s">
        <v>11</v>
      </c>
      <c r="B6">
        <f>AVERAGE(Data_standardisation!C6:G6)</f>
        <v>-0.42897137055647794</v>
      </c>
      <c r="C6">
        <v>2</v>
      </c>
    </row>
    <row r="7" spans="1:3" x14ac:dyDescent="0.25">
      <c r="A7" s="5" t="s">
        <v>12</v>
      </c>
      <c r="B7">
        <f>AVERAGE(Data_standardisation!C7:G7)</f>
        <v>-0.48422188193151555</v>
      </c>
      <c r="C7">
        <v>2</v>
      </c>
    </row>
    <row r="8" spans="1:3" x14ac:dyDescent="0.25">
      <c r="A8" s="5" t="s">
        <v>13</v>
      </c>
      <c r="B8">
        <f>AVERAGE(Data_standardisation!C8:G8)</f>
        <v>0.38815689321525337</v>
      </c>
      <c r="C8">
        <v>1</v>
      </c>
    </row>
    <row r="9" spans="1:3" x14ac:dyDescent="0.25">
      <c r="A9" s="5" t="s">
        <v>14</v>
      </c>
      <c r="B9">
        <f>AVERAGE(Data_standardisation!C9:G9)</f>
        <v>-0.38138445946412164</v>
      </c>
      <c r="C9">
        <v>2</v>
      </c>
    </row>
    <row r="10" spans="1:3" x14ac:dyDescent="0.25">
      <c r="A10" s="5" t="s">
        <v>15</v>
      </c>
      <c r="B10">
        <f>AVERAGE(Data_standardisation!C10:G10)</f>
        <v>0.36907178852615852</v>
      </c>
      <c r="C10">
        <v>1</v>
      </c>
    </row>
    <row r="11" spans="1:3" x14ac:dyDescent="0.25">
      <c r="A11" s="5" t="s">
        <v>16</v>
      </c>
      <c r="B11">
        <f>AVERAGE(Data_standardisation!C11:G11)</f>
        <v>-0.41200524132463689</v>
      </c>
      <c r="C11">
        <v>2</v>
      </c>
    </row>
    <row r="12" spans="1:3" x14ac:dyDescent="0.25">
      <c r="A12" s="5" t="s">
        <v>17</v>
      </c>
      <c r="B12">
        <f>AVERAGE(Data_standardisation!C12:G12)</f>
        <v>-0.62057671179898111</v>
      </c>
      <c r="C12">
        <v>2</v>
      </c>
    </row>
    <row r="13" spans="1:3" x14ac:dyDescent="0.25">
      <c r="A13" s="5" t="s">
        <v>18</v>
      </c>
      <c r="B13">
        <f>AVERAGE(Data_standardisation!C13:G13)</f>
        <v>4.2907204561752579E-2</v>
      </c>
      <c r="C13">
        <v>1</v>
      </c>
    </row>
    <row r="14" spans="1:3" x14ac:dyDescent="0.25">
      <c r="A14" s="5" t="s">
        <v>19</v>
      </c>
      <c r="B14">
        <f>AVERAGE(Data_standardisation!C14:G14)</f>
        <v>6.313949549679139E-2</v>
      </c>
      <c r="C14">
        <v>1</v>
      </c>
    </row>
    <row r="15" spans="1:3" x14ac:dyDescent="0.25">
      <c r="A15" s="5" t="s">
        <v>20</v>
      </c>
      <c r="B15">
        <f>AVERAGE(Data_standardisation!C15:G15)</f>
        <v>0.21666440254654185</v>
      </c>
      <c r="C15">
        <v>1</v>
      </c>
    </row>
    <row r="16" spans="1:3" x14ac:dyDescent="0.25">
      <c r="A16" s="5" t="s">
        <v>21</v>
      </c>
      <c r="B16">
        <f>AVERAGE(Data_standardisation!C16:G16)</f>
        <v>8.0660724000227307E-2</v>
      </c>
      <c r="C16">
        <v>1</v>
      </c>
    </row>
    <row r="17" spans="1:3" x14ac:dyDescent="0.25">
      <c r="A17" s="5" t="s">
        <v>22</v>
      </c>
      <c r="B17">
        <f>AVERAGE(Data_standardisation!C17:G17)</f>
        <v>-0.41449842962841155</v>
      </c>
      <c r="C17">
        <v>2</v>
      </c>
    </row>
    <row r="18" spans="1:3" x14ac:dyDescent="0.25">
      <c r="A18" s="5" t="s">
        <v>23</v>
      </c>
      <c r="B18">
        <f>AVERAGE(Data_standardisation!C18:G18)</f>
        <v>-0.31729859975159358</v>
      </c>
      <c r="C18">
        <v>2</v>
      </c>
    </row>
    <row r="19" spans="1:3" x14ac:dyDescent="0.25">
      <c r="A19" s="5" t="s">
        <v>24</v>
      </c>
      <c r="B19">
        <f>AVERAGE(Data_standardisation!C19:G19)</f>
        <v>-0.67290474809820267</v>
      </c>
      <c r="C19">
        <v>2</v>
      </c>
    </row>
    <row r="20" spans="1:3" x14ac:dyDescent="0.25">
      <c r="A20" s="5" t="s">
        <v>25</v>
      </c>
      <c r="B20">
        <f>AVERAGE(Data_standardisation!C20:G20)</f>
        <v>0.14293067705472479</v>
      </c>
      <c r="C20">
        <v>1</v>
      </c>
    </row>
    <row r="21" spans="1:3" x14ac:dyDescent="0.25">
      <c r="A21" s="5" t="s">
        <v>26</v>
      </c>
      <c r="B21">
        <f>AVERAGE(Data_standardisation!C21:G21)</f>
        <v>-0.52103413345298744</v>
      </c>
      <c r="C21">
        <v>2</v>
      </c>
    </row>
    <row r="22" spans="1:3" x14ac:dyDescent="0.25">
      <c r="A22" s="5" t="s">
        <v>27</v>
      </c>
      <c r="B22">
        <f>AVERAGE(Data_standardisation!C22:G22)</f>
        <v>-0.40277650333267256</v>
      </c>
      <c r="C22">
        <v>2</v>
      </c>
    </row>
    <row r="23" spans="1:3" x14ac:dyDescent="0.25">
      <c r="A23" s="5" t="s">
        <v>28</v>
      </c>
      <c r="B23">
        <f>AVERAGE(Data_standardisation!C23:G23)</f>
        <v>-0.35871197416715805</v>
      </c>
      <c r="C23">
        <v>2</v>
      </c>
    </row>
    <row r="24" spans="1:3" x14ac:dyDescent="0.25">
      <c r="A24" s="5" t="s">
        <v>29</v>
      </c>
      <c r="B24">
        <f>AVERAGE(Data_standardisation!C24:G24)</f>
        <v>-0.67773127455986404</v>
      </c>
      <c r="C24">
        <v>2</v>
      </c>
    </row>
    <row r="25" spans="1:3" x14ac:dyDescent="0.25">
      <c r="A25" s="5" t="s">
        <v>30</v>
      </c>
      <c r="B25">
        <f>AVERAGE(Data_standardisation!C25:G25)</f>
        <v>-0.46667107142722886</v>
      </c>
      <c r="C25">
        <v>2</v>
      </c>
    </row>
    <row r="26" spans="1:3" x14ac:dyDescent="0.25">
      <c r="A26" s="5" t="s">
        <v>31</v>
      </c>
      <c r="B26">
        <f>AVERAGE(Data_standardisation!C26:G26)</f>
        <v>4.0833598673919766</v>
      </c>
      <c r="C26">
        <v>3</v>
      </c>
    </row>
    <row r="27" spans="1:3" x14ac:dyDescent="0.25">
      <c r="A27" s="5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1520C-F1B4-4F5A-887C-68E58D6954CB}">
  <sheetPr codeName="Sheet4"/>
  <dimension ref="A1:F16"/>
  <sheetViews>
    <sheetView workbookViewId="0">
      <selection activeCell="B12" sqref="B12:CC100"/>
    </sheetView>
  </sheetViews>
  <sheetFormatPr defaultRowHeight="15" x14ac:dyDescent="0.25"/>
  <cols>
    <col min="1" max="21" width="15.7109375" customWidth="1"/>
  </cols>
  <sheetData>
    <row r="1" spans="1:6" s="14" customFormat="1" ht="45" x14ac:dyDescent="0.25">
      <c r="B1" s="14" t="s">
        <v>2</v>
      </c>
      <c r="C1" s="14" t="s">
        <v>3</v>
      </c>
      <c r="D1" s="14" t="s">
        <v>4</v>
      </c>
      <c r="E1" s="14" t="s">
        <v>5</v>
      </c>
      <c r="F1" s="14" t="s">
        <v>6</v>
      </c>
    </row>
    <row r="2" spans="1:6" x14ac:dyDescent="0.25">
      <c r="A2" t="s">
        <v>32</v>
      </c>
      <c r="B2" s="11">
        <f>MIN(Data!$C$2:$C$1001)</f>
        <v>21239</v>
      </c>
      <c r="C2" s="11">
        <f>MIN(Data!$C$2:$C$1001)</f>
        <v>21239</v>
      </c>
      <c r="D2" s="11">
        <f>MIN(Data!$C$2:$C$1001)</f>
        <v>21239</v>
      </c>
      <c r="E2" s="11">
        <f>MIN(Data!$C$2:$C$1001)</f>
        <v>21239</v>
      </c>
      <c r="F2" s="11">
        <f>MIN(Data!$C$2:$C$1001)</f>
        <v>21239</v>
      </c>
    </row>
    <row r="3" spans="1:6" x14ac:dyDescent="0.25">
      <c r="A3" t="s">
        <v>33</v>
      </c>
      <c r="B3" s="11">
        <f>MAX(Data!$C$2:$C$1001)</f>
        <v>1276376</v>
      </c>
      <c r="C3" s="11">
        <f>MAX(Data!$C$2:$C$1001)</f>
        <v>1276376</v>
      </c>
      <c r="D3" s="11">
        <f>MAX(Data!$C$2:$C$1001)</f>
        <v>1276376</v>
      </c>
      <c r="E3" s="11">
        <f>MAX(Data!$C$2:$C$1001)</f>
        <v>1276376</v>
      </c>
      <c r="F3" s="11">
        <f>MAX(Data!$C$2:$C$1001)</f>
        <v>1276376</v>
      </c>
    </row>
    <row r="4" spans="1:6" x14ac:dyDescent="0.25">
      <c r="A4" t="s">
        <v>34</v>
      </c>
      <c r="B4" s="11">
        <f>AVERAGE(Data!$C$2:$C$1001)</f>
        <v>150513.12666666668</v>
      </c>
      <c r="C4" s="11">
        <f>AVERAGE(Data!$C$2:$C$1001)</f>
        <v>150513.12666666668</v>
      </c>
      <c r="D4" s="11">
        <f>AVERAGE(Data!$C$2:$C$1001)</f>
        <v>150513.12666666668</v>
      </c>
      <c r="E4" s="11">
        <f>AVERAGE(Data!$C$2:$C$1001)</f>
        <v>150513.12666666668</v>
      </c>
      <c r="F4" s="11">
        <f>AVERAGE(Data!$C$2:$C$1001)</f>
        <v>150513.12666666668</v>
      </c>
    </row>
    <row r="5" spans="1:6" x14ac:dyDescent="0.25">
      <c r="A5" t="s">
        <v>35</v>
      </c>
      <c r="B5" s="11">
        <f>MEDIAN(Data!$C$2:$C$1001)</f>
        <v>90881.5</v>
      </c>
      <c r="C5" s="11">
        <f>MEDIAN(Data!$C$2:$C$1001)</f>
        <v>90881.5</v>
      </c>
      <c r="D5" s="11">
        <f>MEDIAN(Data!$C$2:$C$1001)</f>
        <v>90881.5</v>
      </c>
      <c r="E5" s="11">
        <f>MEDIAN(Data!$C$2:$C$1001)</f>
        <v>90881.5</v>
      </c>
      <c r="F5" s="11">
        <f>MEDIAN(Data!$C$2:$C$1001)</f>
        <v>90881.5</v>
      </c>
    </row>
    <row r="10" spans="1:6" ht="15.75" thickBot="1" x14ac:dyDescent="0.3">
      <c r="A10" t="s">
        <v>36</v>
      </c>
    </row>
    <row r="11" spans="1:6" s="14" customFormat="1" ht="45" x14ac:dyDescent="0.25">
      <c r="A11" s="18"/>
      <c r="B11" s="18" t="s">
        <v>2</v>
      </c>
      <c r="C11" s="18" t="s">
        <v>3</v>
      </c>
      <c r="D11" s="18" t="s">
        <v>4</v>
      </c>
      <c r="E11" s="18" t="s">
        <v>5</v>
      </c>
      <c r="F11" s="18" t="s">
        <v>6</v>
      </c>
    </row>
    <row r="12" spans="1:6" x14ac:dyDescent="0.25">
      <c r="A12" s="15" t="s">
        <v>2</v>
      </c>
      <c r="B12" s="15">
        <v>1</v>
      </c>
      <c r="C12" s="15"/>
      <c r="D12" s="15"/>
      <c r="E12" s="15"/>
      <c r="F12" s="15"/>
    </row>
    <row r="13" spans="1:6" x14ac:dyDescent="0.25">
      <c r="A13" s="15" t="s">
        <v>3</v>
      </c>
      <c r="B13" s="15">
        <v>0.85908216244943592</v>
      </c>
      <c r="C13" s="15">
        <v>1</v>
      </c>
      <c r="D13" s="15"/>
      <c r="E13" s="15"/>
      <c r="F13" s="15"/>
    </row>
    <row r="14" spans="1:6" x14ac:dyDescent="0.25">
      <c r="A14" s="15" t="s">
        <v>4</v>
      </c>
      <c r="B14" s="15">
        <v>0.9226862383810579</v>
      </c>
      <c r="C14" s="15">
        <v>0.72397504856069528</v>
      </c>
      <c r="D14" s="15">
        <v>1</v>
      </c>
      <c r="E14" s="15"/>
      <c r="F14" s="15"/>
    </row>
    <row r="15" spans="1:6" x14ac:dyDescent="0.25">
      <c r="A15" s="15" t="s">
        <v>5</v>
      </c>
      <c r="B15" s="15">
        <v>0.95147190116011127</v>
      </c>
      <c r="C15" s="15">
        <v>0.79472508247258922</v>
      </c>
      <c r="D15" s="15">
        <v>0.85069816632920459</v>
      </c>
      <c r="E15" s="15">
        <v>1</v>
      </c>
      <c r="F15" s="15"/>
    </row>
    <row r="16" spans="1:6" ht="15.75" thickBot="1" x14ac:dyDescent="0.3">
      <c r="A16" s="16" t="s">
        <v>6</v>
      </c>
      <c r="B16" s="16">
        <v>0.76824878371224292</v>
      </c>
      <c r="C16" s="16">
        <v>0.81358439010252137</v>
      </c>
      <c r="D16" s="16">
        <v>0.72099452603959291</v>
      </c>
      <c r="E16" s="16">
        <v>0.62933155290665099</v>
      </c>
      <c r="F16" s="16">
        <v>1</v>
      </c>
    </row>
  </sheetData>
  <conditionalFormatting sqref="B12:CC100">
    <cfRule type="colorScale" priority="1">
      <colorScale>
        <cfvo type="num" val="-1"/>
        <cfvo type="num" val="0"/>
        <cfvo type="num" val="1"/>
        <color theme="4" tint="0.39994506668294322"/>
        <color theme="0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A7319-73E3-4343-B02B-32023645E7ED}">
  <sheetPr codeName="Sheet8"/>
  <dimension ref="A1:N177"/>
  <sheetViews>
    <sheetView workbookViewId="0">
      <selection activeCell="H1" sqref="H1:N177"/>
    </sheetView>
  </sheetViews>
  <sheetFormatPr defaultRowHeight="15" x14ac:dyDescent="0.25"/>
  <cols>
    <col min="1" max="5" width="20.7109375" customWidth="1"/>
  </cols>
  <sheetData>
    <row r="1" spans="1:14" x14ac:dyDescent="0.25">
      <c r="A1" t="s">
        <v>39</v>
      </c>
      <c r="B1" t="s">
        <v>40</v>
      </c>
      <c r="C1" t="s">
        <v>41</v>
      </c>
      <c r="D1" t="s">
        <v>42</v>
      </c>
      <c r="E1" t="s">
        <v>43</v>
      </c>
      <c r="H1" t="s">
        <v>44</v>
      </c>
    </row>
    <row r="2" spans="1:14" ht="15.75" thickBot="1" x14ac:dyDescent="0.3">
      <c r="A2" s="7">
        <v>74411</v>
      </c>
      <c r="B2" s="8">
        <v>34931</v>
      </c>
      <c r="C2" s="8">
        <v>983</v>
      </c>
      <c r="D2" s="9">
        <v>8645</v>
      </c>
      <c r="E2" s="8">
        <v>1782</v>
      </c>
    </row>
    <row r="3" spans="1:14" x14ac:dyDescent="0.25">
      <c r="A3" s="7">
        <v>35744</v>
      </c>
      <c r="B3" s="8">
        <v>30013</v>
      </c>
      <c r="C3" s="8">
        <v>612</v>
      </c>
      <c r="D3" s="10">
        <v>5041</v>
      </c>
      <c r="E3" s="8">
        <v>1692</v>
      </c>
      <c r="H3" s="19" t="s">
        <v>45</v>
      </c>
      <c r="I3" s="19"/>
    </row>
    <row r="4" spans="1:14" x14ac:dyDescent="0.25">
      <c r="A4" s="7">
        <v>244478</v>
      </c>
      <c r="B4" s="8">
        <v>44366</v>
      </c>
      <c r="C4" s="8">
        <v>5865</v>
      </c>
      <c r="D4" s="10">
        <v>25584</v>
      </c>
      <c r="E4" s="8">
        <v>2369</v>
      </c>
      <c r="H4" s="15" t="s">
        <v>46</v>
      </c>
      <c r="I4" s="15">
        <v>0.98695679028363592</v>
      </c>
    </row>
    <row r="5" spans="1:14" x14ac:dyDescent="0.25">
      <c r="A5" s="7">
        <v>137500</v>
      </c>
      <c r="B5" s="8">
        <v>20927</v>
      </c>
      <c r="C5" s="8">
        <v>3431</v>
      </c>
      <c r="D5" s="10">
        <v>10483</v>
      </c>
      <c r="E5" s="8">
        <v>2549</v>
      </c>
      <c r="H5" s="15" t="s">
        <v>47</v>
      </c>
      <c r="I5" s="15">
        <v>0.9740837058869769</v>
      </c>
    </row>
    <row r="6" spans="1:14" x14ac:dyDescent="0.25">
      <c r="A6" s="7">
        <v>47919</v>
      </c>
      <c r="B6" s="8">
        <v>32979</v>
      </c>
      <c r="C6" s="8">
        <v>485</v>
      </c>
      <c r="D6" s="9">
        <v>5930</v>
      </c>
      <c r="E6" s="8">
        <v>1785</v>
      </c>
      <c r="H6" s="15" t="s">
        <v>48</v>
      </c>
      <c r="I6" s="15">
        <v>0.97336877363558327</v>
      </c>
    </row>
    <row r="7" spans="1:14" x14ac:dyDescent="0.25">
      <c r="A7" s="7">
        <v>32390</v>
      </c>
      <c r="B7" s="8">
        <v>26856</v>
      </c>
      <c r="C7" s="8">
        <v>1212</v>
      </c>
      <c r="D7" s="10">
        <v>5058</v>
      </c>
      <c r="E7" s="8">
        <v>1846</v>
      </c>
      <c r="H7" s="15" t="s">
        <v>49</v>
      </c>
      <c r="I7" s="15">
        <v>29495.359902490996</v>
      </c>
    </row>
    <row r="8" spans="1:14" ht="15.75" thickBot="1" x14ac:dyDescent="0.3">
      <c r="A8" s="7">
        <v>104323</v>
      </c>
      <c r="B8" s="8">
        <v>43462</v>
      </c>
      <c r="C8" s="8">
        <v>2293</v>
      </c>
      <c r="D8" s="10">
        <v>13474</v>
      </c>
      <c r="E8" s="8">
        <v>2187</v>
      </c>
      <c r="H8" s="16" t="s">
        <v>50</v>
      </c>
      <c r="I8" s="16">
        <v>150</v>
      </c>
    </row>
    <row r="9" spans="1:14" x14ac:dyDescent="0.25">
      <c r="A9" s="7">
        <v>51404</v>
      </c>
      <c r="B9" s="8">
        <v>31719</v>
      </c>
      <c r="C9" s="8">
        <v>574</v>
      </c>
      <c r="D9" s="10">
        <v>6883</v>
      </c>
      <c r="E9" s="8">
        <v>1927</v>
      </c>
    </row>
    <row r="10" spans="1:14" ht="15.75" thickBot="1" x14ac:dyDescent="0.3">
      <c r="A10" s="7">
        <v>128638</v>
      </c>
      <c r="B10" s="8">
        <v>40127</v>
      </c>
      <c r="C10" s="8">
        <v>1705</v>
      </c>
      <c r="D10" s="9">
        <v>17830</v>
      </c>
      <c r="E10" s="8">
        <v>2295</v>
      </c>
      <c r="H10" t="s">
        <v>51</v>
      </c>
    </row>
    <row r="11" spans="1:14" x14ac:dyDescent="0.25">
      <c r="A11" s="7">
        <v>46021</v>
      </c>
      <c r="B11" s="8">
        <v>32745</v>
      </c>
      <c r="C11" s="8">
        <v>427</v>
      </c>
      <c r="D11" s="10">
        <v>7205</v>
      </c>
      <c r="E11" s="8">
        <v>1815</v>
      </c>
      <c r="H11" s="17"/>
      <c r="I11" s="17" t="s">
        <v>56</v>
      </c>
      <c r="J11" s="17" t="s">
        <v>57</v>
      </c>
      <c r="K11" s="17" t="s">
        <v>58</v>
      </c>
      <c r="L11" s="17" t="s">
        <v>59</v>
      </c>
      <c r="M11" s="17" t="s">
        <v>60</v>
      </c>
    </row>
    <row r="12" spans="1:14" x14ac:dyDescent="0.25">
      <c r="A12" s="7">
        <v>31356</v>
      </c>
      <c r="B12" s="8">
        <v>13793</v>
      </c>
      <c r="C12" s="8">
        <v>436</v>
      </c>
      <c r="D12" s="10">
        <v>3526</v>
      </c>
      <c r="E12" s="8">
        <v>2271</v>
      </c>
      <c r="H12" s="15" t="s">
        <v>52</v>
      </c>
      <c r="I12" s="15">
        <v>4</v>
      </c>
      <c r="J12" s="15">
        <v>4741314683226.8584</v>
      </c>
      <c r="K12" s="15">
        <v>1185328670806.7146</v>
      </c>
      <c r="L12" s="15">
        <v>1362.483933251051</v>
      </c>
      <c r="M12" s="15">
        <v>6.9036066992227909E-114</v>
      </c>
    </row>
    <row r="13" spans="1:14" x14ac:dyDescent="0.25">
      <c r="A13" s="7">
        <v>114842</v>
      </c>
      <c r="B13" s="8">
        <v>35325</v>
      </c>
      <c r="C13" s="8">
        <v>1276</v>
      </c>
      <c r="D13" s="10">
        <v>15586</v>
      </c>
      <c r="E13" s="8">
        <v>1941</v>
      </c>
      <c r="H13" s="15" t="s">
        <v>53</v>
      </c>
      <c r="I13" s="15">
        <v>145</v>
      </c>
      <c r="J13" s="15">
        <v>126146557087.73367</v>
      </c>
      <c r="K13" s="15">
        <v>869976255.77747357</v>
      </c>
      <c r="L13" s="15"/>
      <c r="M13" s="15"/>
    </row>
    <row r="14" spans="1:14" ht="15.75" thickBot="1" x14ac:dyDescent="0.3">
      <c r="A14" s="7">
        <v>57815</v>
      </c>
      <c r="B14" s="8">
        <v>34971</v>
      </c>
      <c r="C14" s="8">
        <v>1666</v>
      </c>
      <c r="D14" s="9">
        <v>10051</v>
      </c>
      <c r="E14" s="8">
        <v>2122</v>
      </c>
      <c r="H14" s="16" t="s">
        <v>54</v>
      </c>
      <c r="I14" s="16">
        <v>149</v>
      </c>
      <c r="J14" s="16">
        <v>4867461240314.5918</v>
      </c>
      <c r="K14" s="16"/>
      <c r="L14" s="16"/>
      <c r="M14" s="16"/>
    </row>
    <row r="15" spans="1:14" ht="15.75" thickBot="1" x14ac:dyDescent="0.3">
      <c r="A15" s="7">
        <v>119800</v>
      </c>
      <c r="B15" s="8">
        <v>39132</v>
      </c>
      <c r="C15" s="8">
        <v>1521</v>
      </c>
      <c r="D15" s="10">
        <v>21004</v>
      </c>
      <c r="E15" s="8">
        <v>2046</v>
      </c>
    </row>
    <row r="16" spans="1:14" x14ac:dyDescent="0.25">
      <c r="A16" s="7">
        <v>116272</v>
      </c>
      <c r="B16" s="8">
        <v>37938</v>
      </c>
      <c r="C16" s="8">
        <v>1436</v>
      </c>
      <c r="D16" s="10">
        <v>8989</v>
      </c>
      <c r="E16" s="8">
        <v>2102</v>
      </c>
      <c r="H16" s="17"/>
      <c r="I16" s="17" t="s">
        <v>61</v>
      </c>
      <c r="J16" s="17" t="s">
        <v>49</v>
      </c>
      <c r="K16" s="17" t="s">
        <v>62</v>
      </c>
      <c r="L16" s="17" t="s">
        <v>63</v>
      </c>
      <c r="M16" s="17" t="s">
        <v>64</v>
      </c>
      <c r="N16" s="17" t="s">
        <v>65</v>
      </c>
    </row>
    <row r="17" spans="1:14" x14ac:dyDescent="0.25">
      <c r="A17" s="7">
        <v>39469</v>
      </c>
      <c r="B17" s="8">
        <v>31295</v>
      </c>
      <c r="C17" s="8">
        <v>318</v>
      </c>
      <c r="D17" s="10">
        <v>4697</v>
      </c>
      <c r="E17" s="8">
        <v>1960</v>
      </c>
      <c r="H17" s="15" t="s">
        <v>55</v>
      </c>
      <c r="I17" s="15">
        <v>-91085.406485614687</v>
      </c>
      <c r="J17" s="15">
        <v>11362.443037670229</v>
      </c>
      <c r="K17" s="15">
        <v>-8.0163575899686936</v>
      </c>
      <c r="L17" s="15">
        <v>3.3080640674337378E-13</v>
      </c>
      <c r="M17" s="15">
        <v>-113542.8156822898</v>
      </c>
      <c r="N17" s="15">
        <v>-68627.997288939572</v>
      </c>
    </row>
    <row r="18" spans="1:14" x14ac:dyDescent="0.25">
      <c r="A18" s="7">
        <v>46287</v>
      </c>
      <c r="B18" s="8">
        <v>36084</v>
      </c>
      <c r="C18" s="8">
        <v>542</v>
      </c>
      <c r="D18" s="9">
        <v>5287</v>
      </c>
      <c r="E18" s="8">
        <v>1866</v>
      </c>
      <c r="H18" s="15" t="s">
        <v>40</v>
      </c>
      <c r="I18" s="15">
        <v>0.94715298859414865</v>
      </c>
      <c r="J18" s="15">
        <v>0.19626918178989575</v>
      </c>
      <c r="K18" s="15">
        <v>4.8257855866952495</v>
      </c>
      <c r="L18" s="15">
        <v>3.495188608030617E-6</v>
      </c>
      <c r="M18" s="15">
        <v>0.55923488739537119</v>
      </c>
      <c r="N18" s="15">
        <v>1.3350710897929261</v>
      </c>
    </row>
    <row r="19" spans="1:14" x14ac:dyDescent="0.25">
      <c r="A19" s="7">
        <v>31072</v>
      </c>
      <c r="B19" s="8">
        <v>28195</v>
      </c>
      <c r="C19" s="8">
        <v>294</v>
      </c>
      <c r="D19" s="10">
        <v>4249</v>
      </c>
      <c r="E19" s="8">
        <v>1659</v>
      </c>
      <c r="H19" s="15" t="s">
        <v>41</v>
      </c>
      <c r="I19" s="15">
        <v>21.143884234470136</v>
      </c>
      <c r="J19" s="15">
        <v>1.9914935989250133</v>
      </c>
      <c r="K19" s="15">
        <v>10.617098767419275</v>
      </c>
      <c r="L19" s="15">
        <v>7.7082699837888327E-20</v>
      </c>
      <c r="M19" s="15">
        <v>17.207777666952552</v>
      </c>
      <c r="N19" s="15">
        <v>25.079990801987719</v>
      </c>
    </row>
    <row r="20" spans="1:14" x14ac:dyDescent="0.25">
      <c r="A20" s="7">
        <v>154871</v>
      </c>
      <c r="B20" s="8">
        <v>38197</v>
      </c>
      <c r="C20" s="8">
        <v>1028</v>
      </c>
      <c r="D20" s="10">
        <v>20435</v>
      </c>
      <c r="E20" s="8">
        <v>2060</v>
      </c>
      <c r="H20" s="15" t="s">
        <v>42</v>
      </c>
      <c r="I20" s="15">
        <v>5.1540118660171981</v>
      </c>
      <c r="J20" s="15">
        <v>0.32357390601235314</v>
      </c>
      <c r="K20" s="15">
        <v>15.928391536678586</v>
      </c>
      <c r="L20" s="15">
        <v>1.1701536180778985E-33</v>
      </c>
      <c r="M20" s="15">
        <v>4.5144811252605983</v>
      </c>
      <c r="N20" s="15">
        <v>5.7935426067737978</v>
      </c>
    </row>
    <row r="21" spans="1:14" ht="15.75" thickBot="1" x14ac:dyDescent="0.3">
      <c r="A21" s="7">
        <v>38743</v>
      </c>
      <c r="B21" s="8">
        <v>32968</v>
      </c>
      <c r="C21" s="8">
        <v>247</v>
      </c>
      <c r="D21" s="10">
        <v>7171</v>
      </c>
      <c r="E21" s="8">
        <v>1733</v>
      </c>
      <c r="H21" s="16" t="s">
        <v>43</v>
      </c>
      <c r="I21" s="16">
        <v>25.463577435866487</v>
      </c>
      <c r="J21" s="16">
        <v>6.1255856331157297</v>
      </c>
      <c r="K21" s="16">
        <v>4.1569213069534126</v>
      </c>
      <c r="L21" s="16">
        <v>5.4932441745274348E-5</v>
      </c>
      <c r="M21" s="16">
        <v>13.356605134568102</v>
      </c>
      <c r="N21" s="16">
        <v>37.570549737164868</v>
      </c>
    </row>
    <row r="22" spans="1:14" x14ac:dyDescent="0.25">
      <c r="A22" s="7">
        <v>48859</v>
      </c>
      <c r="B22" s="8">
        <v>34395</v>
      </c>
      <c r="C22" s="8">
        <v>319</v>
      </c>
      <c r="D22" s="9">
        <v>6228</v>
      </c>
      <c r="E22" s="8">
        <v>1786</v>
      </c>
    </row>
    <row r="23" spans="1:14" x14ac:dyDescent="0.25">
      <c r="A23" s="7">
        <v>59412</v>
      </c>
      <c r="B23" s="8">
        <v>32327</v>
      </c>
      <c r="C23" s="8">
        <v>474</v>
      </c>
      <c r="D23" s="10">
        <v>8050</v>
      </c>
      <c r="E23" s="8">
        <v>1835</v>
      </c>
    </row>
    <row r="24" spans="1:14" x14ac:dyDescent="0.25">
      <c r="A24" s="7">
        <v>21239</v>
      </c>
      <c r="B24" s="8">
        <v>28361</v>
      </c>
      <c r="C24" s="8">
        <v>119</v>
      </c>
      <c r="D24" s="10">
        <v>3500</v>
      </c>
      <c r="E24" s="8">
        <v>1772</v>
      </c>
    </row>
    <row r="25" spans="1:14" x14ac:dyDescent="0.25">
      <c r="A25" s="7">
        <v>43362</v>
      </c>
      <c r="B25" s="8">
        <v>33231</v>
      </c>
      <c r="C25" s="8">
        <v>433</v>
      </c>
      <c r="D25" s="10">
        <v>5236</v>
      </c>
      <c r="E25" s="8">
        <v>1711</v>
      </c>
      <c r="H25" t="s">
        <v>66</v>
      </c>
      <c r="M25" t="s">
        <v>71</v>
      </c>
    </row>
    <row r="26" spans="1:14" ht="15.75" thickBot="1" x14ac:dyDescent="0.3">
      <c r="A26" s="7">
        <v>559140</v>
      </c>
      <c r="B26" s="8">
        <v>92254</v>
      </c>
      <c r="C26" s="8">
        <v>8569</v>
      </c>
      <c r="D26" s="9">
        <v>76227</v>
      </c>
      <c r="E26" s="8">
        <v>3431</v>
      </c>
    </row>
    <row r="27" spans="1:14" x14ac:dyDescent="0.25">
      <c r="A27" s="7">
        <v>92288</v>
      </c>
      <c r="B27" s="8">
        <v>45436</v>
      </c>
      <c r="C27" s="8">
        <v>1218</v>
      </c>
      <c r="D27" s="10">
        <v>9187</v>
      </c>
      <c r="E27" s="8">
        <v>2074</v>
      </c>
      <c r="H27" s="17" t="s">
        <v>67</v>
      </c>
      <c r="I27" s="17" t="s">
        <v>68</v>
      </c>
      <c r="J27" s="17" t="s">
        <v>69</v>
      </c>
      <c r="K27" s="17" t="s">
        <v>70</v>
      </c>
      <c r="M27" s="17" t="s">
        <v>72</v>
      </c>
      <c r="N27" s="17" t="s">
        <v>39</v>
      </c>
    </row>
    <row r="28" spans="1:14" x14ac:dyDescent="0.25">
      <c r="A28" s="7">
        <v>51919</v>
      </c>
      <c r="B28" s="8">
        <v>38514</v>
      </c>
      <c r="C28" s="8">
        <v>689</v>
      </c>
      <c r="D28" s="10">
        <v>5597</v>
      </c>
      <c r="E28" s="8">
        <v>1994</v>
      </c>
      <c r="H28" s="15">
        <v>1</v>
      </c>
      <c r="I28" s="15">
        <v>52716.560333884416</v>
      </c>
      <c r="J28" s="15">
        <v>21694.439666115584</v>
      </c>
      <c r="K28" s="15">
        <v>0.74559651728643583</v>
      </c>
      <c r="M28" s="15">
        <v>0.33333333333333331</v>
      </c>
      <c r="N28" s="15">
        <v>21239</v>
      </c>
    </row>
    <row r="29" spans="1:14" x14ac:dyDescent="0.25">
      <c r="A29" s="7">
        <v>313527</v>
      </c>
      <c r="B29" s="8">
        <v>57333</v>
      </c>
      <c r="C29" s="8">
        <v>7053</v>
      </c>
      <c r="D29" s="10">
        <v>27892</v>
      </c>
      <c r="E29" s="8">
        <v>2790</v>
      </c>
      <c r="H29" s="15">
        <v>2</v>
      </c>
      <c r="I29" s="15">
        <v>19347.30015063602</v>
      </c>
      <c r="J29" s="15">
        <v>16396.69984936398</v>
      </c>
      <c r="K29" s="15">
        <v>0.56352330324398592</v>
      </c>
      <c r="M29" s="15">
        <v>1</v>
      </c>
      <c r="N29" s="15">
        <v>28579</v>
      </c>
    </row>
    <row r="30" spans="1:14" x14ac:dyDescent="0.25">
      <c r="A30" s="7">
        <v>165932</v>
      </c>
      <c r="B30" s="8">
        <v>25278</v>
      </c>
      <c r="C30" s="8">
        <v>4433</v>
      </c>
      <c r="D30" s="9">
        <v>10450</v>
      </c>
      <c r="E30" s="8">
        <v>3063</v>
      </c>
      <c r="H30" s="15">
        <v>3</v>
      </c>
      <c r="I30" s="15">
        <v>267128.31856727233</v>
      </c>
      <c r="J30" s="15">
        <v>-22650.318567272334</v>
      </c>
      <c r="K30" s="15">
        <v>-0.77844825213733493</v>
      </c>
      <c r="M30" s="15">
        <v>1.6666666666666665</v>
      </c>
      <c r="N30" s="15">
        <v>30265</v>
      </c>
    </row>
    <row r="31" spans="1:14" x14ac:dyDescent="0.25">
      <c r="A31" s="7">
        <v>61424</v>
      </c>
      <c r="B31" s="8">
        <v>42684</v>
      </c>
      <c r="C31" s="8">
        <v>590</v>
      </c>
      <c r="D31" s="10">
        <v>6491</v>
      </c>
      <c r="E31" s="8">
        <v>2071</v>
      </c>
      <c r="H31" s="15">
        <v>4</v>
      </c>
      <c r="I31" s="15">
        <v>120216.49619064407</v>
      </c>
      <c r="J31" s="15">
        <v>17283.503809355927</v>
      </c>
      <c r="K31" s="15">
        <v>0.59400106410169262</v>
      </c>
      <c r="M31" s="15">
        <v>2.3333333333333335</v>
      </c>
      <c r="N31" s="15">
        <v>31072</v>
      </c>
    </row>
    <row r="32" spans="1:14" x14ac:dyDescent="0.25">
      <c r="A32" s="7">
        <v>43037</v>
      </c>
      <c r="B32" s="8">
        <v>33891</v>
      </c>
      <c r="C32" s="8">
        <v>1446</v>
      </c>
      <c r="D32" s="10">
        <v>5788</v>
      </c>
      <c r="E32" s="8">
        <v>2069</v>
      </c>
      <c r="H32" s="15">
        <v>5</v>
      </c>
      <c r="I32" s="15">
        <v>26421.311867453423</v>
      </c>
      <c r="J32" s="15">
        <v>21497.688132546577</v>
      </c>
      <c r="K32" s="15">
        <v>0.73883454230770684</v>
      </c>
      <c r="M32" s="15">
        <v>3</v>
      </c>
      <c r="N32" s="15">
        <v>31356</v>
      </c>
    </row>
    <row r="33" spans="1:14" x14ac:dyDescent="0.25">
      <c r="A33" s="7">
        <v>130187</v>
      </c>
      <c r="B33" s="8">
        <v>54261</v>
      </c>
      <c r="C33" s="8">
        <v>2981</v>
      </c>
      <c r="D33" s="10">
        <v>14576</v>
      </c>
      <c r="E33" s="8">
        <v>2607</v>
      </c>
      <c r="H33" s="15">
        <v>6</v>
      </c>
      <c r="I33" s="15">
        <v>33052.477833172088</v>
      </c>
      <c r="J33" s="15">
        <v>-662.47783317208814</v>
      </c>
      <c r="K33" s="15">
        <v>-2.2768099697179876E-2</v>
      </c>
      <c r="M33" s="15">
        <v>3.6666666666666665</v>
      </c>
      <c r="N33" s="15">
        <v>32390</v>
      </c>
    </row>
    <row r="34" spans="1:14" x14ac:dyDescent="0.25">
      <c r="A34" s="7">
        <v>63809</v>
      </c>
      <c r="B34" s="8">
        <v>40580</v>
      </c>
      <c r="C34" s="8">
        <v>665</v>
      </c>
      <c r="D34" s="9">
        <v>7639</v>
      </c>
      <c r="E34" s="8">
        <v>2213</v>
      </c>
      <c r="H34" s="15">
        <v>7</v>
      </c>
      <c r="I34" s="15">
        <v>123696.68298925995</v>
      </c>
      <c r="J34" s="15">
        <v>-19373.682989259949</v>
      </c>
      <c r="K34" s="15">
        <v>-0.66583653627916306</v>
      </c>
      <c r="M34" s="15">
        <v>4.333333333333333</v>
      </c>
      <c r="N34" s="15">
        <v>33905</v>
      </c>
    </row>
    <row r="35" spans="1:14" x14ac:dyDescent="0.25">
      <c r="A35" s="7">
        <v>156829</v>
      </c>
      <c r="B35" s="8">
        <v>50664</v>
      </c>
      <c r="C35" s="8">
        <v>1748</v>
      </c>
      <c r="D35" s="10">
        <v>19339</v>
      </c>
      <c r="E35" s="8">
        <v>2761</v>
      </c>
      <c r="H35" s="15">
        <v>8</v>
      </c>
      <c r="I35" s="15">
        <v>35637.30610290006</v>
      </c>
      <c r="J35" s="15">
        <v>15766.69389709994</v>
      </c>
      <c r="K35" s="15">
        <v>0.54187120016563539</v>
      </c>
      <c r="M35" s="15">
        <v>4.9999999999999991</v>
      </c>
      <c r="N35" s="15">
        <v>35204</v>
      </c>
    </row>
    <row r="36" spans="1:14" x14ac:dyDescent="0.25">
      <c r="A36" s="7">
        <v>52978</v>
      </c>
      <c r="B36" s="8">
        <v>42227</v>
      </c>
      <c r="C36" s="8">
        <v>416</v>
      </c>
      <c r="D36" s="10">
        <v>7735</v>
      </c>
      <c r="E36" s="8">
        <v>2114</v>
      </c>
      <c r="H36" s="15">
        <v>9</v>
      </c>
      <c r="I36" s="15">
        <v>133306.26589387452</v>
      </c>
      <c r="J36" s="15">
        <v>-4668.2658938745153</v>
      </c>
      <c r="K36" s="15">
        <v>-0.16043939579948147</v>
      </c>
      <c r="M36" s="15">
        <v>5.6666666666666661</v>
      </c>
      <c r="N36" s="15">
        <v>35744</v>
      </c>
    </row>
    <row r="37" spans="1:14" x14ac:dyDescent="0.25">
      <c r="A37" s="7">
        <v>30265</v>
      </c>
      <c r="B37" s="8">
        <v>16416</v>
      </c>
      <c r="C37" s="8">
        <v>234</v>
      </c>
      <c r="D37" s="10">
        <v>3408</v>
      </c>
      <c r="E37" s="8">
        <v>2742</v>
      </c>
      <c r="H37" s="15">
        <v>10</v>
      </c>
      <c r="I37" s="15">
        <v>32308.60523477105</v>
      </c>
      <c r="J37" s="15">
        <v>13712.39476522895</v>
      </c>
      <c r="K37" s="15">
        <v>0.47126885681127445</v>
      </c>
      <c r="M37" s="15">
        <v>6.333333333333333</v>
      </c>
      <c r="N37" s="15">
        <v>38743</v>
      </c>
    </row>
    <row r="38" spans="1:14" x14ac:dyDescent="0.25">
      <c r="A38" s="7">
        <v>147308</v>
      </c>
      <c r="B38" s="8">
        <v>44981</v>
      </c>
      <c r="C38" s="8">
        <v>1585</v>
      </c>
      <c r="D38" s="9">
        <v>17933</v>
      </c>
      <c r="E38" s="8">
        <v>2244</v>
      </c>
      <c r="H38" s="15">
        <v>11</v>
      </c>
      <c r="I38" s="15">
        <v>7198.2384087228202</v>
      </c>
      <c r="J38" s="15">
        <v>24157.76159127718</v>
      </c>
      <c r="K38" s="15">
        <v>0.83025619398803996</v>
      </c>
      <c r="M38" s="15">
        <v>6.9999999999999991</v>
      </c>
      <c r="N38" s="15">
        <v>39469</v>
      </c>
    </row>
    <row r="39" spans="1:14" x14ac:dyDescent="0.25">
      <c r="A39" s="7">
        <v>69299</v>
      </c>
      <c r="B39" s="8">
        <v>45356</v>
      </c>
      <c r="C39" s="8">
        <v>1901</v>
      </c>
      <c r="D39" s="10">
        <v>10801</v>
      </c>
      <c r="E39" s="8">
        <v>2448</v>
      </c>
      <c r="H39" s="15">
        <v>12</v>
      </c>
      <c r="I39" s="15">
        <v>99107.601866418408</v>
      </c>
      <c r="J39" s="15">
        <v>15734.398133581592</v>
      </c>
      <c r="K39" s="15">
        <v>0.5407612563656119</v>
      </c>
      <c r="M39" s="15">
        <v>7.6666666666666661</v>
      </c>
      <c r="N39" s="15">
        <v>40291</v>
      </c>
    </row>
    <row r="40" spans="1:14" x14ac:dyDescent="0.25">
      <c r="A40" s="7">
        <v>149392</v>
      </c>
      <c r="B40" s="8">
        <v>50111</v>
      </c>
      <c r="C40" s="8">
        <v>1814</v>
      </c>
      <c r="D40" s="10">
        <v>24023</v>
      </c>
      <c r="E40" s="8">
        <v>2387</v>
      </c>
      <c r="H40" s="15">
        <v>13</v>
      </c>
      <c r="I40" s="15">
        <v>83099.876397386077</v>
      </c>
      <c r="J40" s="15">
        <v>-25284.876397386077</v>
      </c>
      <c r="K40" s="15">
        <v>-0.8689929803236347</v>
      </c>
      <c r="M40" s="15">
        <v>8.3333333333333339</v>
      </c>
      <c r="N40" s="15">
        <v>40715</v>
      </c>
    </row>
    <row r="41" spans="1:14" x14ac:dyDescent="0.25">
      <c r="A41" s="7">
        <v>150543</v>
      </c>
      <c r="B41" s="8">
        <v>48663</v>
      </c>
      <c r="C41" s="8">
        <v>1865</v>
      </c>
      <c r="D41" s="10">
        <v>10188</v>
      </c>
      <c r="E41" s="8">
        <v>2481</v>
      </c>
      <c r="H41" s="15">
        <v>14</v>
      </c>
      <c r="I41" s="15">
        <v>138491.77685228869</v>
      </c>
      <c r="J41" s="15">
        <v>-18691.776852288691</v>
      </c>
      <c r="K41" s="15">
        <v>-0.64240072283263616</v>
      </c>
      <c r="M41" s="15">
        <v>9</v>
      </c>
      <c r="N41" s="15">
        <v>41660</v>
      </c>
    </row>
    <row r="42" spans="1:14" x14ac:dyDescent="0.25">
      <c r="A42" s="7">
        <v>48796</v>
      </c>
      <c r="B42" s="8">
        <v>40325</v>
      </c>
      <c r="C42" s="8">
        <v>383</v>
      </c>
      <c r="D42" s="9">
        <v>5280</v>
      </c>
      <c r="E42" s="8">
        <v>2211</v>
      </c>
      <c r="H42" s="15">
        <v>15</v>
      </c>
      <c r="I42" s="15">
        <v>75064.153790189186</v>
      </c>
      <c r="J42" s="15">
        <v>41207.846209810814</v>
      </c>
      <c r="K42" s="15">
        <v>1.4162350856610644</v>
      </c>
      <c r="M42" s="15">
        <v>9.6666666666666661</v>
      </c>
      <c r="N42" s="15">
        <v>43037</v>
      </c>
    </row>
    <row r="43" spans="1:14" x14ac:dyDescent="0.25">
      <c r="A43" s="7">
        <v>56473</v>
      </c>
      <c r="B43" s="8">
        <v>45852</v>
      </c>
      <c r="C43" s="8">
        <v>673</v>
      </c>
      <c r="D43" s="10">
        <v>5705</v>
      </c>
      <c r="E43" s="8">
        <v>2177</v>
      </c>
      <c r="H43" s="15">
        <v>16</v>
      </c>
      <c r="I43" s="15">
        <v>19396.506987981789</v>
      </c>
      <c r="J43" s="15">
        <v>20072.493012018211</v>
      </c>
      <c r="K43" s="15">
        <v>0.68985330404234291</v>
      </c>
      <c r="M43" s="15">
        <v>10.333333333333334</v>
      </c>
      <c r="N43" s="15">
        <v>43204</v>
      </c>
    </row>
    <row r="44" spans="1:14" x14ac:dyDescent="0.25">
      <c r="A44" s="7">
        <v>40715</v>
      </c>
      <c r="B44" s="8">
        <v>36204</v>
      </c>
      <c r="C44" s="8">
        <v>380</v>
      </c>
      <c r="D44" s="10">
        <v>4710</v>
      </c>
      <c r="E44" s="8">
        <v>1871</v>
      </c>
      <c r="H44" s="15">
        <v>17</v>
      </c>
      <c r="I44" s="15">
        <v>29315.943440859177</v>
      </c>
      <c r="J44" s="15">
        <v>16971.056559140823</v>
      </c>
      <c r="K44" s="15">
        <v>0.58326284798818939</v>
      </c>
      <c r="M44" s="15">
        <v>11</v>
      </c>
      <c r="N44" s="15">
        <v>43362</v>
      </c>
    </row>
    <row r="45" spans="1:14" x14ac:dyDescent="0.25">
      <c r="A45" s="7">
        <v>187238</v>
      </c>
      <c r="B45" s="8">
        <v>48370</v>
      </c>
      <c r="C45" s="8">
        <v>1192</v>
      </c>
      <c r="D45" s="10">
        <v>22597</v>
      </c>
      <c r="E45" s="8">
        <v>2407</v>
      </c>
      <c r="H45" s="15">
        <v>18</v>
      </c>
      <c r="I45" s="15">
        <v>5979.3453775411253</v>
      </c>
      <c r="J45" s="15">
        <v>25092.654622458875</v>
      </c>
      <c r="K45" s="15">
        <v>0.86238668451060252</v>
      </c>
      <c r="M45" s="15">
        <v>11.666666666666666</v>
      </c>
      <c r="N45" s="15">
        <v>45054</v>
      </c>
    </row>
    <row r="46" spans="1:14" x14ac:dyDescent="0.25">
      <c r="A46" s="7">
        <v>47819</v>
      </c>
      <c r="B46" s="8">
        <v>41695</v>
      </c>
      <c r="C46" s="8">
        <v>289</v>
      </c>
      <c r="D46" s="9">
        <v>8107</v>
      </c>
      <c r="E46" s="8">
        <v>1970</v>
      </c>
      <c r="H46" s="15">
        <v>19</v>
      </c>
      <c r="I46" s="15">
        <v>124606.11121269771</v>
      </c>
      <c r="J46" s="15">
        <v>30264.88878730229</v>
      </c>
      <c r="K46" s="15">
        <v>1.0401465086521062</v>
      </c>
      <c r="M46" s="15">
        <v>12.333333333333334</v>
      </c>
      <c r="N46" s="15">
        <v>46021</v>
      </c>
    </row>
    <row r="47" spans="1:14" x14ac:dyDescent="0.25">
      <c r="A47" s="7">
        <v>63808</v>
      </c>
      <c r="B47" s="8">
        <v>43638</v>
      </c>
      <c r="C47" s="8">
        <v>468</v>
      </c>
      <c r="D47" s="10">
        <v>6954</v>
      </c>
      <c r="E47" s="8">
        <v>2075</v>
      </c>
      <c r="H47" s="15">
        <v>20</v>
      </c>
      <c r="I47" s="15">
        <v>26450.671435837277</v>
      </c>
      <c r="J47" s="15">
        <v>12292.328564162723</v>
      </c>
      <c r="K47" s="15">
        <v>0.42246388972632659</v>
      </c>
      <c r="M47" s="15">
        <v>13</v>
      </c>
      <c r="N47" s="15">
        <v>46287</v>
      </c>
    </row>
    <row r="48" spans="1:14" x14ac:dyDescent="0.25">
      <c r="A48" s="7">
        <v>73073</v>
      </c>
      <c r="B48" s="8">
        <v>41854</v>
      </c>
      <c r="C48" s="8">
        <v>618</v>
      </c>
      <c r="D48" s="10">
        <v>8864</v>
      </c>
      <c r="E48" s="8">
        <v>2155</v>
      </c>
      <c r="H48" s="15">
        <v>21</v>
      </c>
      <c r="I48" s="15">
        <v>25813.954829889692</v>
      </c>
      <c r="J48" s="15">
        <v>23045.045170110308</v>
      </c>
      <c r="K48" s="15">
        <v>0.79201425268336312</v>
      </c>
      <c r="M48" s="15">
        <v>13.666666666666666</v>
      </c>
      <c r="N48" s="15">
        <v>47819</v>
      </c>
    </row>
    <row r="49" spans="1:14" x14ac:dyDescent="0.25">
      <c r="A49" s="7">
        <v>28579</v>
      </c>
      <c r="B49" s="8">
        <v>36215</v>
      </c>
      <c r="C49" s="8">
        <v>150</v>
      </c>
      <c r="D49" s="10">
        <v>3925</v>
      </c>
      <c r="E49" s="8">
        <v>1985</v>
      </c>
      <c r="H49" s="15">
        <v>22</v>
      </c>
      <c r="I49" s="15">
        <v>37770.869420060648</v>
      </c>
      <c r="J49" s="15">
        <v>21641.130579939352</v>
      </c>
      <c r="K49" s="15">
        <v>0.74376438566172265</v>
      </c>
      <c r="M49" s="15">
        <v>14.333333333333334</v>
      </c>
      <c r="N49" s="15">
        <v>47919</v>
      </c>
    </row>
    <row r="50" spans="1:14" x14ac:dyDescent="0.25">
      <c r="A50" s="7">
        <v>56611</v>
      </c>
      <c r="B50" s="8">
        <v>42501</v>
      </c>
      <c r="C50" s="8">
        <v>625</v>
      </c>
      <c r="D50" s="9">
        <v>5904</v>
      </c>
      <c r="E50" s="8">
        <v>1974</v>
      </c>
      <c r="H50" s="15">
        <v>23</v>
      </c>
      <c r="I50" s="15">
        <v>1453.4223952215179</v>
      </c>
      <c r="J50" s="15">
        <v>19785.577604778482</v>
      </c>
      <c r="K50" s="15">
        <v>0.67999256867945235</v>
      </c>
      <c r="M50" s="15">
        <v>15</v>
      </c>
      <c r="N50" s="15">
        <v>48796</v>
      </c>
    </row>
    <row r="51" spans="1:14" x14ac:dyDescent="0.25">
      <c r="A51" s="7">
        <v>699378</v>
      </c>
      <c r="B51" s="8">
        <v>118208</v>
      </c>
      <c r="C51" s="8">
        <v>9738</v>
      </c>
      <c r="D51" s="10">
        <v>85163</v>
      </c>
      <c r="E51" s="8">
        <v>4012</v>
      </c>
      <c r="H51" s="15">
        <v>24</v>
      </c>
      <c r="I51" s="15">
        <v>20099.323475116638</v>
      </c>
      <c r="J51" s="15">
        <v>23262.676524883362</v>
      </c>
      <c r="K51" s="15">
        <v>0.79949382729641749</v>
      </c>
      <c r="M51" s="15">
        <v>15.666666666666666</v>
      </c>
      <c r="N51" s="15">
        <v>48859</v>
      </c>
    </row>
    <row r="52" spans="1:14" x14ac:dyDescent="0.25">
      <c r="A52" s="7">
        <v>111489</v>
      </c>
      <c r="B52" s="8">
        <v>54992</v>
      </c>
      <c r="C52" s="8">
        <v>1429</v>
      </c>
      <c r="D52" s="10">
        <v>9713</v>
      </c>
      <c r="E52" s="8">
        <v>2432</v>
      </c>
      <c r="H52" s="15">
        <v>25</v>
      </c>
      <c r="I52" s="15">
        <v>657715.58602267539</v>
      </c>
      <c r="J52" s="15">
        <v>-98575.586022675387</v>
      </c>
      <c r="K52" s="15">
        <v>-3.3878548954998688</v>
      </c>
      <c r="M52" s="15">
        <v>16.333333333333332</v>
      </c>
      <c r="N52" s="15">
        <v>49127</v>
      </c>
    </row>
    <row r="53" spans="1:14" x14ac:dyDescent="0.25">
      <c r="A53" s="7">
        <v>60445</v>
      </c>
      <c r="B53" s="8">
        <v>46475</v>
      </c>
      <c r="C53" s="8">
        <v>720</v>
      </c>
      <c r="D53" s="10">
        <v>5917</v>
      </c>
      <c r="E53" s="8">
        <v>2339</v>
      </c>
      <c r="H53" s="15">
        <v>26</v>
      </c>
      <c r="I53" s="15">
        <v>77864.054316820766</v>
      </c>
      <c r="J53" s="15">
        <v>14423.945683179234</v>
      </c>
      <c r="K53" s="15">
        <v>0.49572350484370692</v>
      </c>
      <c r="M53" s="15">
        <v>16.999999999999996</v>
      </c>
      <c r="N53" s="15">
        <v>51404</v>
      </c>
    </row>
    <row r="54" spans="1:14" x14ac:dyDescent="0.25">
      <c r="A54" s="7">
        <v>369356</v>
      </c>
      <c r="B54" s="8">
        <v>72883</v>
      </c>
      <c r="C54" s="8">
        <v>7723</v>
      </c>
      <c r="D54" s="9">
        <v>29119</v>
      </c>
      <c r="E54" s="8">
        <v>3138</v>
      </c>
      <c r="H54" s="15">
        <v>27</v>
      </c>
      <c r="I54" s="15">
        <v>39582.75777586631</v>
      </c>
      <c r="J54" s="15">
        <v>12336.24222413369</v>
      </c>
      <c r="K54" s="15">
        <v>0.42397311847062985</v>
      </c>
      <c r="M54" s="15">
        <v>17.666666666666664</v>
      </c>
      <c r="N54" s="15">
        <v>51919</v>
      </c>
    </row>
    <row r="55" spans="1:14" x14ac:dyDescent="0.25">
      <c r="A55" s="7">
        <v>192161</v>
      </c>
      <c r="B55" s="8">
        <v>31888</v>
      </c>
      <c r="C55" s="8">
        <v>4845</v>
      </c>
      <c r="D55" s="10">
        <v>9731</v>
      </c>
      <c r="E55" s="8">
        <v>3496</v>
      </c>
      <c r="H55" s="15">
        <v>28</v>
      </c>
      <c r="I55" s="15">
        <v>327144.61132819072</v>
      </c>
      <c r="J55" s="15">
        <v>-13617.611328190716</v>
      </c>
      <c r="K55" s="15">
        <v>-0.46801133084426255</v>
      </c>
      <c r="M55" s="15">
        <v>18.333333333333332</v>
      </c>
      <c r="N55" s="15">
        <v>52135</v>
      </c>
    </row>
    <row r="56" spans="1:14" x14ac:dyDescent="0.25">
      <c r="A56" s="7">
        <v>77103</v>
      </c>
      <c r="B56" s="8">
        <v>52136</v>
      </c>
      <c r="C56" s="8">
        <v>662</v>
      </c>
      <c r="D56" s="10">
        <v>6913</v>
      </c>
      <c r="E56" s="8">
        <v>2369</v>
      </c>
      <c r="H56" s="15">
        <v>29</v>
      </c>
      <c r="I56" s="15">
        <v>158441.92725741307</v>
      </c>
      <c r="J56" s="15">
        <v>7490.0727425869263</v>
      </c>
      <c r="K56" s="15">
        <v>0.25741951564747645</v>
      </c>
      <c r="M56" s="15">
        <v>18.999999999999996</v>
      </c>
      <c r="N56" s="15">
        <v>52445</v>
      </c>
    </row>
    <row r="57" spans="1:14" x14ac:dyDescent="0.25">
      <c r="A57" s="7">
        <v>52445</v>
      </c>
      <c r="B57" s="8">
        <v>40472</v>
      </c>
      <c r="C57" s="8">
        <v>1659</v>
      </c>
      <c r="D57" s="10">
        <v>6424</v>
      </c>
      <c r="E57" s="8">
        <v>2351</v>
      </c>
      <c r="H57" s="15">
        <v>30</v>
      </c>
      <c r="I57" s="15">
        <v>48007.523269872458</v>
      </c>
      <c r="J57" s="15">
        <v>13416.476730127542</v>
      </c>
      <c r="K57" s="15">
        <v>0.46109871829792703</v>
      </c>
      <c r="M57" s="15">
        <v>19.666666666666664</v>
      </c>
      <c r="N57" s="15">
        <v>52978</v>
      </c>
    </row>
    <row r="58" spans="1:14" x14ac:dyDescent="0.25">
      <c r="A58" s="7">
        <v>147043</v>
      </c>
      <c r="B58" s="8">
        <v>67983</v>
      </c>
      <c r="C58" s="8">
        <v>3377</v>
      </c>
      <c r="D58" s="9">
        <v>14993</v>
      </c>
      <c r="E58" s="8">
        <v>2927</v>
      </c>
      <c r="H58" s="15">
        <v>31</v>
      </c>
      <c r="I58" s="15">
        <v>54104.174449188722</v>
      </c>
      <c r="J58" s="15">
        <v>-11067.174449188722</v>
      </c>
      <c r="K58" s="15">
        <v>-0.38035767931838949</v>
      </c>
      <c r="M58" s="15">
        <v>20.333333333333332</v>
      </c>
      <c r="N58" s="15">
        <v>54582</v>
      </c>
    </row>
    <row r="59" spans="1:14" x14ac:dyDescent="0.25">
      <c r="A59" s="7">
        <v>78439</v>
      </c>
      <c r="B59" s="8">
        <v>48368</v>
      </c>
      <c r="C59" s="8">
        <v>871</v>
      </c>
      <c r="D59" s="10">
        <v>8302</v>
      </c>
      <c r="E59" s="8">
        <v>2539</v>
      </c>
      <c r="H59" s="15">
        <v>32</v>
      </c>
      <c r="I59" s="15">
        <v>164846.4040658185</v>
      </c>
      <c r="J59" s="15">
        <v>-34659.404065818497</v>
      </c>
      <c r="K59" s="15">
        <v>-1.1911776178787397</v>
      </c>
      <c r="M59" s="15">
        <v>20.999999999999996</v>
      </c>
      <c r="N59" s="15">
        <v>55152</v>
      </c>
    </row>
    <row r="60" spans="1:14" x14ac:dyDescent="0.25">
      <c r="A60" s="7">
        <v>198142</v>
      </c>
      <c r="B60" s="8">
        <v>63498</v>
      </c>
      <c r="C60" s="8">
        <v>1856</v>
      </c>
      <c r="D60" s="10">
        <v>20054</v>
      </c>
      <c r="E60" s="8">
        <v>3157</v>
      </c>
      <c r="H60" s="15">
        <v>33</v>
      </c>
      <c r="I60" s="15">
        <v>57133.138317536424</v>
      </c>
      <c r="J60" s="15">
        <v>6675.8616824635756</v>
      </c>
      <c r="K60" s="15">
        <v>0.22943663431441993</v>
      </c>
      <c r="M60" s="15">
        <v>21.666666666666664</v>
      </c>
      <c r="N60" s="15">
        <v>56473</v>
      </c>
    </row>
    <row r="61" spans="1:14" x14ac:dyDescent="0.25">
      <c r="A61" s="7">
        <v>64417</v>
      </c>
      <c r="B61" s="8">
        <v>51018</v>
      </c>
      <c r="C61" s="8">
        <v>522</v>
      </c>
      <c r="D61" s="10">
        <v>8068</v>
      </c>
      <c r="E61" s="8">
        <v>2428</v>
      </c>
      <c r="H61" s="15">
        <v>34</v>
      </c>
      <c r="I61" s="15">
        <v>163839.03494770703</v>
      </c>
      <c r="J61" s="15">
        <v>-7010.0349477070267</v>
      </c>
      <c r="K61" s="15">
        <v>-0.24092153213019124</v>
      </c>
      <c r="M61" s="15">
        <v>22.333333333333332</v>
      </c>
      <c r="N61" s="15">
        <v>56611</v>
      </c>
    </row>
    <row r="62" spans="1:14" x14ac:dyDescent="0.25">
      <c r="A62" s="7">
        <v>35204</v>
      </c>
      <c r="B62" s="8">
        <v>20619</v>
      </c>
      <c r="C62" s="8">
        <v>203</v>
      </c>
      <c r="D62" s="9">
        <v>3449</v>
      </c>
      <c r="E62" s="8">
        <v>3090</v>
      </c>
      <c r="H62" s="15">
        <v>35</v>
      </c>
      <c r="I62" s="15">
        <v>51402.163088354784</v>
      </c>
      <c r="J62" s="15">
        <v>1575.8369116452159</v>
      </c>
      <c r="K62" s="15">
        <v>5.4158509333117978E-2</v>
      </c>
      <c r="M62" s="15">
        <v>22.999999999999996</v>
      </c>
      <c r="N62" s="15">
        <v>56835</v>
      </c>
    </row>
    <row r="63" spans="1:14" x14ac:dyDescent="0.25">
      <c r="A63" s="7">
        <v>177233</v>
      </c>
      <c r="B63" s="8">
        <v>55511</v>
      </c>
      <c r="C63" s="8">
        <v>1896</v>
      </c>
      <c r="D63" s="10">
        <v>19233</v>
      </c>
      <c r="E63" s="8">
        <v>2578</v>
      </c>
      <c r="H63" s="15">
        <v>36</v>
      </c>
      <c r="I63" s="15">
        <v>16796.727654545379</v>
      </c>
      <c r="J63" s="15">
        <v>13468.272345454621</v>
      </c>
      <c r="K63" s="15">
        <v>0.46287883481593489</v>
      </c>
      <c r="M63" s="15">
        <v>23.666666666666664</v>
      </c>
      <c r="N63" s="15">
        <v>57140</v>
      </c>
    </row>
    <row r="64" spans="1:14" x14ac:dyDescent="0.25">
      <c r="A64" s="7">
        <v>79903</v>
      </c>
      <c r="B64" s="8">
        <v>55544</v>
      </c>
      <c r="C64" s="8">
        <v>2113</v>
      </c>
      <c r="D64" s="10">
        <v>11434</v>
      </c>
      <c r="E64" s="8">
        <v>2822</v>
      </c>
      <c r="H64" s="15">
        <v>37</v>
      </c>
      <c r="I64" s="15">
        <v>134598.70116534468</v>
      </c>
      <c r="J64" s="15">
        <v>12709.298834655317</v>
      </c>
      <c r="K64" s="15">
        <v>0.43679436270815897</v>
      </c>
      <c r="M64" s="15">
        <v>24.333333333333332</v>
      </c>
      <c r="N64" s="15">
        <v>57815</v>
      </c>
    </row>
    <row r="65" spans="1:14" x14ac:dyDescent="0.25">
      <c r="A65" s="7">
        <v>173224</v>
      </c>
      <c r="B65" s="8">
        <v>61166</v>
      </c>
      <c r="C65" s="8">
        <v>1668</v>
      </c>
      <c r="D65" s="10">
        <v>24704</v>
      </c>
      <c r="E65" s="8">
        <v>2700</v>
      </c>
      <c r="H65" s="15">
        <v>38</v>
      </c>
      <c r="I65" s="15">
        <v>110071.50812264216</v>
      </c>
      <c r="J65" s="15">
        <v>-40772.508122642161</v>
      </c>
      <c r="K65" s="15">
        <v>-1.4012733458498234</v>
      </c>
      <c r="M65" s="15">
        <v>24.999999999999996</v>
      </c>
      <c r="N65" s="15">
        <v>59412</v>
      </c>
    </row>
    <row r="66" spans="1:14" x14ac:dyDescent="0.25">
      <c r="A66" s="7">
        <v>174089</v>
      </c>
      <c r="B66" s="8">
        <v>60218</v>
      </c>
      <c r="C66" s="8">
        <v>1906</v>
      </c>
      <c r="D66" s="9">
        <v>10958</v>
      </c>
      <c r="E66" s="8">
        <v>2850</v>
      </c>
      <c r="H66" s="15">
        <v>39</v>
      </c>
      <c r="I66" s="15">
        <v>179328.76932389996</v>
      </c>
      <c r="J66" s="15">
        <v>-29936.769323899964</v>
      </c>
      <c r="K66" s="15">
        <v>-1.0288696684602492</v>
      </c>
      <c r="M66" s="15">
        <v>25.666666666666664</v>
      </c>
      <c r="N66" s="15">
        <v>60445</v>
      </c>
    </row>
    <row r="67" spans="1:14" x14ac:dyDescent="0.25">
      <c r="A67" s="7">
        <v>56835</v>
      </c>
      <c r="B67" s="8">
        <v>47729</v>
      </c>
      <c r="C67" s="8">
        <v>411</v>
      </c>
      <c r="D67" s="10">
        <v>5545</v>
      </c>
      <c r="E67" s="8">
        <v>2575</v>
      </c>
      <c r="H67" s="15">
        <v>40</v>
      </c>
      <c r="I67" s="15">
        <v>110123.45200499715</v>
      </c>
      <c r="J67" s="15">
        <v>40419.547995002853</v>
      </c>
      <c r="K67" s="15">
        <v>1.3891427794024271</v>
      </c>
      <c r="M67" s="15">
        <v>26.333333333333332</v>
      </c>
      <c r="N67" s="15">
        <v>61325</v>
      </c>
    </row>
    <row r="68" spans="1:14" x14ac:dyDescent="0.25">
      <c r="A68" s="7">
        <v>68476</v>
      </c>
      <c r="B68" s="8">
        <v>55934</v>
      </c>
      <c r="C68" s="8">
        <v>802</v>
      </c>
      <c r="D68" s="10">
        <v>5949</v>
      </c>
      <c r="E68" s="8">
        <v>2503</v>
      </c>
      <c r="H68" s="15">
        <v>41</v>
      </c>
      <c r="I68" s="15">
        <v>38719.797804518021</v>
      </c>
      <c r="J68" s="15">
        <v>10076.202195481979</v>
      </c>
      <c r="K68" s="15">
        <v>0.34629985286780512</v>
      </c>
      <c r="M68" s="15">
        <v>26.999999999999996</v>
      </c>
      <c r="N68" s="15">
        <v>61424</v>
      </c>
    </row>
    <row r="69" spans="1:14" x14ac:dyDescent="0.25">
      <c r="A69" s="7">
        <v>49127</v>
      </c>
      <c r="B69" s="8">
        <v>43513</v>
      </c>
      <c r="C69" s="8">
        <v>453</v>
      </c>
      <c r="D69" s="10">
        <v>5043</v>
      </c>
      <c r="E69" s="8">
        <v>2185</v>
      </c>
      <c r="H69" s="15">
        <v>42</v>
      </c>
      <c r="I69" s="15">
        <v>51411.132210712072</v>
      </c>
      <c r="J69" s="15">
        <v>5061.8677892879277</v>
      </c>
      <c r="K69" s="15">
        <v>0.17396674229628664</v>
      </c>
      <c r="M69" s="15">
        <v>27.666666666666664</v>
      </c>
      <c r="N69" s="15">
        <v>61939</v>
      </c>
    </row>
    <row r="70" spans="1:14" x14ac:dyDescent="0.25">
      <c r="A70" s="7">
        <v>233279</v>
      </c>
      <c r="B70" s="8">
        <v>60118</v>
      </c>
      <c r="C70" s="8">
        <v>1279</v>
      </c>
      <c r="D70" s="9">
        <v>23793</v>
      </c>
      <c r="E70" s="8">
        <v>2753</v>
      </c>
      <c r="H70" s="15">
        <v>43</v>
      </c>
      <c r="I70" s="15">
        <v>23157.745593993717</v>
      </c>
      <c r="J70" s="15">
        <v>17557.254406006283</v>
      </c>
      <c r="K70" s="15">
        <v>0.6034093500315838</v>
      </c>
      <c r="M70" s="15">
        <v>28.333333333333332</v>
      </c>
      <c r="N70" s="15">
        <v>62022</v>
      </c>
    </row>
    <row r="71" spans="1:14" x14ac:dyDescent="0.25">
      <c r="A71" s="7">
        <v>55152</v>
      </c>
      <c r="B71" s="8">
        <v>50109</v>
      </c>
      <c r="C71" s="8">
        <v>270</v>
      </c>
      <c r="D71" s="10">
        <v>8218</v>
      </c>
      <c r="E71" s="8">
        <v>2269</v>
      </c>
      <c r="H71" s="15">
        <v>44</v>
      </c>
      <c r="I71" s="15">
        <v>157687.93060469395</v>
      </c>
      <c r="J71" s="15">
        <v>29550.069395306055</v>
      </c>
      <c r="K71" s="15">
        <v>1.0155795294001073</v>
      </c>
      <c r="M71" s="15">
        <v>28.999999999999996</v>
      </c>
      <c r="N71" s="15">
        <v>62661</v>
      </c>
    </row>
    <row r="72" spans="1:14" x14ac:dyDescent="0.25">
      <c r="A72" s="7">
        <v>75638</v>
      </c>
      <c r="B72" s="8">
        <v>52488</v>
      </c>
      <c r="C72" s="8">
        <v>638</v>
      </c>
      <c r="D72" s="10">
        <v>7431</v>
      </c>
      <c r="E72" s="8">
        <v>2425</v>
      </c>
      <c r="H72" s="15">
        <v>45</v>
      </c>
      <c r="I72" s="15">
        <v>46463.541664038617</v>
      </c>
      <c r="J72" s="15">
        <v>1355.4583359613825</v>
      </c>
      <c r="K72" s="15">
        <v>4.6584517976657566E-2</v>
      </c>
      <c r="M72" s="15">
        <v>29.666666666666664</v>
      </c>
      <c r="N72" s="15">
        <v>63808</v>
      </c>
    </row>
    <row r="73" spans="1:14" x14ac:dyDescent="0.25">
      <c r="A73" s="7">
        <v>93287</v>
      </c>
      <c r="B73" s="8">
        <v>50293</v>
      </c>
      <c r="C73" s="8">
        <v>786</v>
      </c>
      <c r="D73" s="10">
        <v>9176</v>
      </c>
      <c r="E73" s="8">
        <v>2508</v>
      </c>
      <c r="H73" s="15">
        <v>46</v>
      </c>
      <c r="I73" s="15">
        <v>48819.715148095354</v>
      </c>
      <c r="J73" s="15">
        <v>14988.284851904646</v>
      </c>
      <c r="K73" s="15">
        <v>0.51511876580668936</v>
      </c>
      <c r="M73" s="15">
        <v>30.333333333333332</v>
      </c>
      <c r="N73" s="15">
        <v>63809</v>
      </c>
    </row>
    <row r="74" spans="1:14" x14ac:dyDescent="0.25">
      <c r="A74" s="7">
        <v>33905</v>
      </c>
      <c r="B74" s="8">
        <v>42850</v>
      </c>
      <c r="C74" s="8">
        <v>200</v>
      </c>
      <c r="D74" s="9">
        <v>4096</v>
      </c>
      <c r="E74" s="8">
        <v>2329</v>
      </c>
      <c r="H74" s="15">
        <v>47</v>
      </c>
      <c r="I74" s="15">
        <v>62182.825710576079</v>
      </c>
      <c r="J74" s="15">
        <v>10890.174289423921</v>
      </c>
      <c r="K74" s="15">
        <v>0.37427452138894535</v>
      </c>
      <c r="M74" s="15">
        <v>30.999999999999996</v>
      </c>
      <c r="N74" s="15">
        <v>64417</v>
      </c>
    </row>
    <row r="75" spans="1:14" x14ac:dyDescent="0.25">
      <c r="A75" s="7">
        <v>70611</v>
      </c>
      <c r="B75" s="8">
        <v>50895</v>
      </c>
      <c r="C75" s="8">
        <v>755</v>
      </c>
      <c r="D75" s="10">
        <v>6105</v>
      </c>
      <c r="E75" s="8">
        <v>2308</v>
      </c>
      <c r="H75" s="15">
        <v>48</v>
      </c>
      <c r="I75" s="15">
        <v>17162.0194158054</v>
      </c>
      <c r="J75" s="15">
        <v>11416.9805841946</v>
      </c>
      <c r="K75" s="15">
        <v>0.39237984905403722</v>
      </c>
      <c r="M75" s="15">
        <v>31.666666666666664</v>
      </c>
      <c r="N75" s="15">
        <v>67363</v>
      </c>
    </row>
    <row r="76" spans="1:14" x14ac:dyDescent="0.25">
      <c r="A76" s="7">
        <v>833299</v>
      </c>
      <c r="B76" s="8">
        <v>141174</v>
      </c>
      <c r="C76" s="8">
        <v>10248</v>
      </c>
      <c r="D76" s="10">
        <v>91509</v>
      </c>
      <c r="E76" s="8">
        <v>4607</v>
      </c>
      <c r="H76" s="15">
        <v>49</v>
      </c>
      <c r="I76" s="15">
        <v>43078.858244535033</v>
      </c>
      <c r="J76" s="15">
        <v>13532.141755464967</v>
      </c>
      <c r="K76" s="15">
        <v>0.46507390463095444</v>
      </c>
      <c r="M76" s="15">
        <v>32.333333333333336</v>
      </c>
      <c r="N76" s="15">
        <v>68467</v>
      </c>
    </row>
    <row r="77" spans="1:14" x14ac:dyDescent="0.25">
      <c r="A77" s="7">
        <v>129097</v>
      </c>
      <c r="B77" s="8">
        <v>65503</v>
      </c>
      <c r="C77" s="8">
        <v>1455</v>
      </c>
      <c r="D77" s="10">
        <v>10295</v>
      </c>
      <c r="E77" s="8">
        <v>2651</v>
      </c>
      <c r="H77" s="15">
        <v>50</v>
      </c>
      <c r="I77" s="15">
        <v>767865.78388371156</v>
      </c>
      <c r="J77" s="15">
        <v>-68487.783883711556</v>
      </c>
      <c r="K77" s="15">
        <v>-2.3537945172245389</v>
      </c>
      <c r="M77" s="15">
        <v>33</v>
      </c>
      <c r="N77" s="15">
        <v>68476</v>
      </c>
    </row>
    <row r="78" spans="1:14" x14ac:dyDescent="0.25">
      <c r="A78" s="7">
        <v>75637</v>
      </c>
      <c r="B78" s="8">
        <v>53990</v>
      </c>
      <c r="C78" s="8">
        <v>694</v>
      </c>
      <c r="D78" s="10">
        <v>6292</v>
      </c>
      <c r="E78" s="8">
        <v>2580</v>
      </c>
      <c r="H78" s="15">
        <v>51</v>
      </c>
      <c r="I78" s="15">
        <v>103203.37881286492</v>
      </c>
      <c r="J78" s="15">
        <v>8285.6211871350824</v>
      </c>
      <c r="K78" s="15">
        <v>0.28476099847517983</v>
      </c>
      <c r="M78" s="15">
        <v>33.666666666666664</v>
      </c>
      <c r="N78" s="15">
        <v>69299</v>
      </c>
    </row>
    <row r="79" spans="1:14" x14ac:dyDescent="0.25">
      <c r="A79" s="7">
        <v>390325</v>
      </c>
      <c r="B79" s="8">
        <v>89042</v>
      </c>
      <c r="C79" s="8">
        <v>7907</v>
      </c>
      <c r="D79" s="9">
        <v>31191</v>
      </c>
      <c r="E79" s="8">
        <v>3336</v>
      </c>
      <c r="H79" s="15">
        <v>52</v>
      </c>
      <c r="I79" s="15">
        <v>58212.721141832335</v>
      </c>
      <c r="J79" s="15">
        <v>2232.278858167665</v>
      </c>
      <c r="K79" s="15">
        <v>7.6719167117348358E-2</v>
      </c>
      <c r="M79" s="15">
        <v>34.333333333333336</v>
      </c>
      <c r="N79" s="15">
        <v>70611</v>
      </c>
    </row>
    <row r="80" spans="1:14" x14ac:dyDescent="0.25">
      <c r="A80" s="7">
        <v>204893</v>
      </c>
      <c r="B80" s="8">
        <v>39843</v>
      </c>
      <c r="C80" s="8">
        <v>4632</v>
      </c>
      <c r="D80" s="10">
        <v>10299</v>
      </c>
      <c r="E80" s="8">
        <v>3755</v>
      </c>
      <c r="H80" s="15">
        <v>53</v>
      </c>
      <c r="I80" s="15">
        <v>371224.5402452093</v>
      </c>
      <c r="J80" s="15">
        <v>-1868.5402452092967</v>
      </c>
      <c r="K80" s="15">
        <v>-6.4218164685469578E-2</v>
      </c>
      <c r="M80" s="15">
        <v>35</v>
      </c>
      <c r="N80" s="15">
        <v>71901</v>
      </c>
    </row>
    <row r="81" spans="1:14" x14ac:dyDescent="0.25">
      <c r="A81" s="7">
        <v>85267</v>
      </c>
      <c r="B81" s="8">
        <v>62571</v>
      </c>
      <c r="C81" s="8">
        <v>719</v>
      </c>
      <c r="D81" s="10">
        <v>7306</v>
      </c>
      <c r="E81" s="8">
        <v>2561</v>
      </c>
      <c r="H81" s="15">
        <v>54</v>
      </c>
      <c r="I81" s="15">
        <v>180733.88331468593</v>
      </c>
      <c r="J81" s="15">
        <v>11427.116685314075</v>
      </c>
      <c r="K81" s="15">
        <v>0.39272820751868787</v>
      </c>
      <c r="M81" s="15">
        <v>35.666666666666664</v>
      </c>
      <c r="N81" s="15">
        <v>73066</v>
      </c>
    </row>
    <row r="82" spans="1:14" x14ac:dyDescent="0.25">
      <c r="A82" s="7">
        <v>61325</v>
      </c>
      <c r="B82" s="8">
        <v>47852</v>
      </c>
      <c r="C82" s="8">
        <v>1490</v>
      </c>
      <c r="D82" s="10">
        <v>6388</v>
      </c>
      <c r="E82" s="8">
        <v>2553</v>
      </c>
      <c r="H82" s="15">
        <v>55</v>
      </c>
      <c r="I82" s="15">
        <v>68245.512066293668</v>
      </c>
      <c r="J82" s="15">
        <v>8857.4879337063321</v>
      </c>
      <c r="K82" s="15">
        <v>0.30441496793268152</v>
      </c>
      <c r="M82" s="15">
        <v>36.333333333333336</v>
      </c>
      <c r="N82" s="15">
        <v>73073</v>
      </c>
    </row>
    <row r="83" spans="1:14" x14ac:dyDescent="0.25">
      <c r="A83" s="7">
        <v>155158</v>
      </c>
      <c r="B83" s="8">
        <v>76062</v>
      </c>
      <c r="C83" s="8">
        <v>3081</v>
      </c>
      <c r="D83" s="9">
        <v>15652</v>
      </c>
      <c r="E83" s="8">
        <v>3142</v>
      </c>
      <c r="H83" s="15">
        <v>56</v>
      </c>
      <c r="I83" s="15">
        <v>75299.715992770245</v>
      </c>
      <c r="J83" s="15">
        <v>-22854.715992770245</v>
      </c>
      <c r="K83" s="15">
        <v>-0.78547300183997815</v>
      </c>
      <c r="M83" s="15">
        <v>37</v>
      </c>
      <c r="N83" s="15">
        <v>74411</v>
      </c>
    </row>
    <row r="84" spans="1:14" x14ac:dyDescent="0.25">
      <c r="A84" s="7">
        <v>86679</v>
      </c>
      <c r="B84" s="8">
        <v>56514</v>
      </c>
      <c r="C84" s="8">
        <v>911</v>
      </c>
      <c r="D84" s="10">
        <v>8595</v>
      </c>
      <c r="E84" s="8">
        <v>2679</v>
      </c>
      <c r="H84" s="15">
        <v>57</v>
      </c>
      <c r="I84" s="15">
        <v>196513.78325976402</v>
      </c>
      <c r="J84" s="15">
        <v>-49470.783259764023</v>
      </c>
      <c r="K84" s="15">
        <v>-1.7002164736028194</v>
      </c>
      <c r="M84" s="15">
        <v>37.666666666666664</v>
      </c>
      <c r="N84" s="15">
        <v>75208</v>
      </c>
    </row>
    <row r="85" spans="1:14" x14ac:dyDescent="0.25">
      <c r="A85" s="7">
        <v>218647</v>
      </c>
      <c r="B85" s="8">
        <v>76232</v>
      </c>
      <c r="C85" s="8">
        <v>1948</v>
      </c>
      <c r="D85" s="10">
        <v>21077</v>
      </c>
      <c r="E85" s="8">
        <v>3351</v>
      </c>
      <c r="H85" s="15">
        <v>58</v>
      </c>
      <c r="I85" s="15">
        <v>80583.442056270374</v>
      </c>
      <c r="J85" s="15">
        <v>-2144.4420562703745</v>
      </c>
      <c r="K85" s="15">
        <v>-7.370038375201958E-2</v>
      </c>
      <c r="M85" s="15">
        <v>38.333333333333336</v>
      </c>
      <c r="N85" s="15">
        <v>75626</v>
      </c>
    </row>
    <row r="86" spans="1:14" x14ac:dyDescent="0.25">
      <c r="A86" s="7">
        <v>73066</v>
      </c>
      <c r="B86" s="8">
        <v>58461</v>
      </c>
      <c r="C86" s="8">
        <v>707</v>
      </c>
      <c r="D86" s="10">
        <v>8755</v>
      </c>
      <c r="E86" s="8">
        <v>2608</v>
      </c>
      <c r="H86" s="15">
        <v>59</v>
      </c>
      <c r="I86" s="15">
        <v>192047.03104945252</v>
      </c>
      <c r="J86" s="15">
        <v>6094.9689505474817</v>
      </c>
      <c r="K86" s="15">
        <v>0.2094724589543106</v>
      </c>
      <c r="M86" s="15">
        <v>39</v>
      </c>
      <c r="N86" s="15">
        <v>75637</v>
      </c>
    </row>
    <row r="87" spans="1:14" x14ac:dyDescent="0.25">
      <c r="A87" s="7">
        <v>40291</v>
      </c>
      <c r="B87" s="8">
        <v>24975</v>
      </c>
      <c r="C87" s="8">
        <v>153</v>
      </c>
      <c r="D87" s="9">
        <v>3732</v>
      </c>
      <c r="E87" s="8">
        <v>3337</v>
      </c>
      <c r="H87" s="15">
        <v>60</v>
      </c>
      <c r="I87" s="15">
        <v>71681.686006185584</v>
      </c>
      <c r="J87" s="15">
        <v>-7264.6860061855841</v>
      </c>
      <c r="K87" s="15">
        <v>-0.24967340335835064</v>
      </c>
      <c r="M87" s="15">
        <v>39.666666666666664</v>
      </c>
      <c r="N87" s="15">
        <v>75638</v>
      </c>
    </row>
    <row r="88" spans="1:14" x14ac:dyDescent="0.25">
      <c r="A88" s="7">
        <v>214400</v>
      </c>
      <c r="B88" s="8">
        <v>67353</v>
      </c>
      <c r="C88" s="8">
        <v>2202</v>
      </c>
      <c r="D88" s="10">
        <v>20480</v>
      </c>
      <c r="E88" s="8">
        <v>2789</v>
      </c>
      <c r="H88" s="15">
        <v>61</v>
      </c>
      <c r="I88" s="15">
        <v>29194.790688526264</v>
      </c>
      <c r="J88" s="15">
        <v>6009.2093114737363</v>
      </c>
      <c r="K88" s="15">
        <v>0.2065250637138151</v>
      </c>
      <c r="M88" s="15">
        <v>40.333333333333336</v>
      </c>
      <c r="N88" s="15">
        <v>75827</v>
      </c>
    </row>
    <row r="89" spans="1:14" x14ac:dyDescent="0.25">
      <c r="A89" s="7">
        <v>92427</v>
      </c>
      <c r="B89" s="8">
        <v>64700</v>
      </c>
      <c r="C89" s="8">
        <v>2153</v>
      </c>
      <c r="D89" s="10">
        <v>12278</v>
      </c>
      <c r="E89" s="8">
        <v>3094</v>
      </c>
      <c r="H89" s="15">
        <v>62</v>
      </c>
      <c r="I89" s="15">
        <v>166353.02042156304</v>
      </c>
      <c r="J89" s="15">
        <v>10879.979578436963</v>
      </c>
      <c r="K89" s="15">
        <v>0.37392414861492573</v>
      </c>
      <c r="M89" s="15">
        <v>41</v>
      </c>
      <c r="N89" s="15">
        <v>77103</v>
      </c>
    </row>
    <row r="90" spans="1:14" x14ac:dyDescent="0.25">
      <c r="A90" s="7">
        <v>197153</v>
      </c>
      <c r="B90" s="8">
        <v>75288</v>
      </c>
      <c r="C90" s="8">
        <v>1384</v>
      </c>
      <c r="D90" s="10">
        <v>25871</v>
      </c>
      <c r="E90" s="8">
        <v>2947</v>
      </c>
      <c r="H90" s="15">
        <v>63</v>
      </c>
      <c r="I90" s="15">
        <v>136989.47370034998</v>
      </c>
      <c r="J90" s="15">
        <v>-57086.473700349976</v>
      </c>
      <c r="K90" s="15">
        <v>-1.961953229961698</v>
      </c>
      <c r="M90" s="15">
        <v>41.666666666666664</v>
      </c>
      <c r="N90" s="15">
        <v>77404</v>
      </c>
    </row>
    <row r="91" spans="1:14" x14ac:dyDescent="0.25">
      <c r="A91" s="7">
        <v>187289</v>
      </c>
      <c r="B91" s="8">
        <v>72843</v>
      </c>
      <c r="C91" s="8">
        <v>2102</v>
      </c>
      <c r="D91" s="9">
        <v>11439</v>
      </c>
      <c r="E91" s="8">
        <v>2988</v>
      </c>
      <c r="H91" s="15">
        <v>64</v>
      </c>
      <c r="I91" s="15">
        <v>198192.52033275957</v>
      </c>
      <c r="J91" s="15">
        <v>-24968.520332759566</v>
      </c>
      <c r="K91" s="15">
        <v>-0.85812042571341451</v>
      </c>
      <c r="M91" s="15">
        <v>42.333333333333336</v>
      </c>
      <c r="N91" s="15">
        <v>77981</v>
      </c>
    </row>
    <row r="92" spans="1:14" x14ac:dyDescent="0.25">
      <c r="A92" s="7">
        <v>67363</v>
      </c>
      <c r="B92" s="8">
        <v>55917</v>
      </c>
      <c r="C92" s="8">
        <v>440</v>
      </c>
      <c r="D92" s="10">
        <v>5956</v>
      </c>
      <c r="E92" s="8">
        <v>2844</v>
      </c>
      <c r="H92" s="15">
        <v>65</v>
      </c>
      <c r="I92" s="15">
        <v>135299.35325248376</v>
      </c>
      <c r="J92" s="15">
        <v>38789.646747516235</v>
      </c>
      <c r="K92" s="15">
        <v>1.3331261819539606</v>
      </c>
      <c r="M92" s="15">
        <v>43</v>
      </c>
      <c r="N92" s="15">
        <v>78439</v>
      </c>
    </row>
    <row r="93" spans="1:14" x14ac:dyDescent="0.25">
      <c r="A93" s="7">
        <v>75827</v>
      </c>
      <c r="B93" s="8">
        <v>65932</v>
      </c>
      <c r="C93" s="8">
        <v>883</v>
      </c>
      <c r="D93" s="10">
        <v>6222</v>
      </c>
      <c r="E93" s="8">
        <v>2702</v>
      </c>
      <c r="H93" s="15">
        <v>66</v>
      </c>
      <c r="I93" s="15">
        <v>56959.10262178423</v>
      </c>
      <c r="J93" s="15">
        <v>-124.10262178423</v>
      </c>
      <c r="K93" s="15">
        <v>-4.2651704313414673E-3</v>
      </c>
      <c r="M93" s="15">
        <v>43.666666666666664</v>
      </c>
      <c r="N93" s="15">
        <v>79903</v>
      </c>
    </row>
    <row r="94" spans="1:14" x14ac:dyDescent="0.25">
      <c r="A94" s="7">
        <v>57140</v>
      </c>
      <c r="B94" s="8">
        <v>50536</v>
      </c>
      <c r="C94" s="8">
        <v>434</v>
      </c>
      <c r="D94" s="10">
        <v>5092</v>
      </c>
      <c r="E94" s="8">
        <v>2359</v>
      </c>
      <c r="H94" s="15">
        <v>67</v>
      </c>
      <c r="I94" s="15">
        <v>73246.594847365603</v>
      </c>
      <c r="J94" s="15">
        <v>-4770.5948473656026</v>
      </c>
      <c r="K94" s="15">
        <v>-0.16395624677672457</v>
      </c>
      <c r="M94" s="15">
        <v>44.333333333333336</v>
      </c>
      <c r="N94" s="15">
        <v>80432</v>
      </c>
    </row>
    <row r="95" spans="1:14" x14ac:dyDescent="0.25">
      <c r="A95" s="7">
        <v>247592</v>
      </c>
      <c r="B95" s="8">
        <v>66547</v>
      </c>
      <c r="C95" s="8">
        <v>1415</v>
      </c>
      <c r="D95" s="9">
        <v>25051</v>
      </c>
      <c r="E95" s="8">
        <v>2975</v>
      </c>
      <c r="H95" s="15">
        <v>68</v>
      </c>
      <c r="I95" s="15">
        <v>41335.839602990476</v>
      </c>
      <c r="J95" s="15">
        <v>7791.1603970095239</v>
      </c>
      <c r="K95" s="15">
        <v>0.26776732411777587</v>
      </c>
      <c r="M95" s="15">
        <v>45</v>
      </c>
      <c r="N95" s="15">
        <v>81485</v>
      </c>
    </row>
    <row r="96" spans="1:14" x14ac:dyDescent="0.25">
      <c r="A96" s="7">
        <v>61939</v>
      </c>
      <c r="B96" s="8">
        <v>58129</v>
      </c>
      <c r="C96" s="8">
        <v>268</v>
      </c>
      <c r="D96" s="10">
        <v>8511</v>
      </c>
      <c r="E96" s="8">
        <v>2464</v>
      </c>
      <c r="H96" s="15">
        <v>69</v>
      </c>
      <c r="I96" s="15">
        <v>185629.19782766327</v>
      </c>
      <c r="J96" s="15">
        <v>47649.802172336727</v>
      </c>
      <c r="K96" s="15">
        <v>1.6376328264689932</v>
      </c>
      <c r="M96" s="15">
        <v>45.666666666666664</v>
      </c>
      <c r="N96" s="15">
        <v>83006</v>
      </c>
    </row>
    <row r="97" spans="1:14" x14ac:dyDescent="0.25">
      <c r="A97" s="7">
        <v>83006</v>
      </c>
      <c r="B97" s="8">
        <v>58934</v>
      </c>
      <c r="C97" s="8">
        <v>642</v>
      </c>
      <c r="D97" s="10">
        <v>7864</v>
      </c>
      <c r="E97" s="8">
        <v>2641</v>
      </c>
      <c r="H97" s="15">
        <v>70</v>
      </c>
      <c r="I97" s="15">
        <v>62216.858080066842</v>
      </c>
      <c r="J97" s="15">
        <v>-7064.8580800668424</v>
      </c>
      <c r="K97" s="15">
        <v>-0.24280569863475673</v>
      </c>
      <c r="M97" s="15">
        <v>46.333333333333336</v>
      </c>
      <c r="N97" s="15">
        <v>84068</v>
      </c>
    </row>
    <row r="98" spans="1:14" x14ac:dyDescent="0.25">
      <c r="A98" s="7">
        <v>103466</v>
      </c>
      <c r="B98" s="8">
        <v>59626</v>
      </c>
      <c r="C98" s="8">
        <v>864</v>
      </c>
      <c r="D98" s="10">
        <v>9709</v>
      </c>
      <c r="E98" s="8">
        <v>2682</v>
      </c>
      <c r="H98" s="15">
        <v>71</v>
      </c>
      <c r="I98" s="15">
        <v>72167.195179656963</v>
      </c>
      <c r="J98" s="15">
        <v>3470.8048203430371</v>
      </c>
      <c r="K98" s="15">
        <v>0.11928494241179423</v>
      </c>
      <c r="M98" s="15">
        <v>47</v>
      </c>
      <c r="N98" s="15">
        <v>85267</v>
      </c>
    </row>
    <row r="99" spans="1:14" x14ac:dyDescent="0.25">
      <c r="A99" s="7">
        <v>41660</v>
      </c>
      <c r="B99" s="8">
        <v>49142</v>
      </c>
      <c r="C99" s="8">
        <v>214</v>
      </c>
      <c r="D99" s="9">
        <v>4235</v>
      </c>
      <c r="E99" s="8">
        <v>2484</v>
      </c>
      <c r="H99" s="15">
        <v>72</v>
      </c>
      <c r="I99" s="15">
        <v>84324.71686977132</v>
      </c>
      <c r="J99" s="15">
        <v>8962.2831302286795</v>
      </c>
      <c r="K99" s="15">
        <v>0.30801657897947193</v>
      </c>
      <c r="M99" s="15">
        <v>47.666666666666664</v>
      </c>
      <c r="N99" s="15">
        <v>86679</v>
      </c>
    </row>
    <row r="100" spans="1:14" x14ac:dyDescent="0.25">
      <c r="A100" s="7">
        <v>77981</v>
      </c>
      <c r="B100" s="8">
        <v>59972</v>
      </c>
      <c r="C100" s="8">
        <v>807</v>
      </c>
      <c r="D100" s="10">
        <v>6443</v>
      </c>
      <c r="E100" s="8">
        <v>2504</v>
      </c>
      <c r="H100" s="15">
        <v>73</v>
      </c>
      <c r="I100" s="15">
        <v>34144.380373878099</v>
      </c>
      <c r="J100" s="15">
        <v>-239.38037387809891</v>
      </c>
      <c r="K100" s="15">
        <v>-8.2270469215669165E-3</v>
      </c>
      <c r="M100" s="15">
        <v>48.333333333333336</v>
      </c>
      <c r="N100" s="15">
        <v>88182</v>
      </c>
    </row>
    <row r="101" spans="1:14" x14ac:dyDescent="0.25">
      <c r="A101" s="7">
        <v>949570</v>
      </c>
      <c r="B101" s="8">
        <v>173677</v>
      </c>
      <c r="C101" s="8">
        <v>12491</v>
      </c>
      <c r="D101" s="10">
        <v>101864</v>
      </c>
      <c r="E101" s="8">
        <v>5007</v>
      </c>
      <c r="H101" s="15">
        <v>74</v>
      </c>
      <c r="I101" s="15">
        <v>63318.756629924304</v>
      </c>
      <c r="J101" s="15">
        <v>7292.2433700756956</v>
      </c>
      <c r="K101" s="15">
        <v>0.25062049739987841</v>
      </c>
      <c r="M101" s="15">
        <v>49</v>
      </c>
      <c r="N101" s="15">
        <v>88859</v>
      </c>
    </row>
    <row r="102" spans="1:14" x14ac:dyDescent="0.25">
      <c r="A102" s="7">
        <v>135867</v>
      </c>
      <c r="B102" s="8">
        <v>70939</v>
      </c>
      <c r="C102" s="8">
        <v>1378</v>
      </c>
      <c r="D102" s="10">
        <v>9862</v>
      </c>
      <c r="E102" s="8">
        <v>2810</v>
      </c>
      <c r="H102" s="15">
        <v>75</v>
      </c>
      <c r="I102" s="15">
        <v>848259.6682554303</v>
      </c>
      <c r="J102" s="15">
        <v>-14960.668255430297</v>
      </c>
      <c r="K102" s="15">
        <v>-0.5141696360542054</v>
      </c>
      <c r="M102" s="15">
        <v>49.666666666666664</v>
      </c>
      <c r="N102" s="15">
        <v>90398</v>
      </c>
    </row>
    <row r="103" spans="1:14" x14ac:dyDescent="0.25">
      <c r="A103" s="7">
        <v>77404</v>
      </c>
      <c r="B103" s="8">
        <v>57973</v>
      </c>
      <c r="C103" s="8">
        <v>643</v>
      </c>
      <c r="D103" s="10">
        <v>6047</v>
      </c>
      <c r="E103" s="8">
        <v>2721</v>
      </c>
      <c r="H103" s="15">
        <v>76</v>
      </c>
      <c r="I103" s="15">
        <v>122284.803230551</v>
      </c>
      <c r="J103" s="15">
        <v>6812.1967694490013</v>
      </c>
      <c r="K103" s="15">
        <v>0.23412221124586954</v>
      </c>
      <c r="M103" s="15">
        <v>50.333333333333336</v>
      </c>
      <c r="N103" s="15">
        <v>91365</v>
      </c>
    </row>
    <row r="104" spans="1:14" x14ac:dyDescent="0.25">
      <c r="A104" s="7">
        <v>398732</v>
      </c>
      <c r="B104" s="8">
        <v>94804</v>
      </c>
      <c r="C104" s="8">
        <v>7592</v>
      </c>
      <c r="D104" s="9">
        <v>30827</v>
      </c>
      <c r="E104" s="8">
        <v>3641</v>
      </c>
      <c r="H104" s="15">
        <v>77</v>
      </c>
      <c r="I104" s="15">
        <v>72850.311472821413</v>
      </c>
      <c r="J104" s="15">
        <v>2786.6885271785868</v>
      </c>
      <c r="K104" s="15">
        <v>9.5773170111954506E-2</v>
      </c>
      <c r="M104" s="15">
        <v>51</v>
      </c>
      <c r="N104" s="15">
        <v>92288</v>
      </c>
    </row>
    <row r="105" spans="1:14" x14ac:dyDescent="0.25">
      <c r="A105" s="7">
        <v>206309</v>
      </c>
      <c r="B105" s="8">
        <v>42219</v>
      </c>
      <c r="C105" s="8">
        <v>3935</v>
      </c>
      <c r="D105" s="10">
        <v>9473</v>
      </c>
      <c r="E105" s="8">
        <v>3858</v>
      </c>
      <c r="H105" s="15">
        <v>78</v>
      </c>
      <c r="I105" s="15">
        <v>406140.96100573393</v>
      </c>
      <c r="J105" s="15">
        <v>-15815.961005733931</v>
      </c>
      <c r="K105" s="15">
        <v>-0.54356441673078359</v>
      </c>
      <c r="M105" s="15">
        <v>51.666666666666664</v>
      </c>
      <c r="N105" s="15">
        <v>92427</v>
      </c>
    </row>
    <row r="106" spans="1:14" x14ac:dyDescent="0.25">
      <c r="A106" s="7">
        <v>91365</v>
      </c>
      <c r="B106" s="8">
        <v>66651</v>
      </c>
      <c r="C106" s="8">
        <v>681</v>
      </c>
      <c r="D106" s="10">
        <v>7060</v>
      </c>
      <c r="E106" s="8">
        <v>2763</v>
      </c>
      <c r="H106" s="15">
        <v>79</v>
      </c>
      <c r="I106" s="15">
        <v>193287.38329279743</v>
      </c>
      <c r="J106" s="15">
        <v>11605.616707202571</v>
      </c>
      <c r="K106" s="15">
        <v>0.3988629128488968</v>
      </c>
      <c r="M106" s="15">
        <v>52.333333333333336</v>
      </c>
      <c r="N106" s="15">
        <v>92535</v>
      </c>
    </row>
    <row r="107" spans="1:14" x14ac:dyDescent="0.25">
      <c r="A107" s="7">
        <v>62022</v>
      </c>
      <c r="B107" s="8">
        <v>52379</v>
      </c>
      <c r="C107" s="8">
        <v>1350</v>
      </c>
      <c r="D107" s="10">
        <v>6655</v>
      </c>
      <c r="E107" s="8">
        <v>2744</v>
      </c>
      <c r="H107" s="15">
        <v>80</v>
      </c>
      <c r="I107" s="15">
        <v>86248.788434669535</v>
      </c>
      <c r="J107" s="15">
        <v>-981.78843466953549</v>
      </c>
      <c r="K107" s="15">
        <v>-3.3742196104978993E-2</v>
      </c>
      <c r="M107" s="15">
        <v>53</v>
      </c>
      <c r="N107" s="15">
        <v>93287</v>
      </c>
    </row>
    <row r="108" spans="1:14" x14ac:dyDescent="0.25">
      <c r="A108" s="7">
        <v>167260</v>
      </c>
      <c r="B108" s="8">
        <v>83309</v>
      </c>
      <c r="C108" s="8">
        <v>2923</v>
      </c>
      <c r="D108" s="9">
        <v>15368</v>
      </c>
      <c r="E108" s="8">
        <v>3432</v>
      </c>
      <c r="H108" s="15">
        <v>81</v>
      </c>
      <c r="I108" s="15">
        <v>83674.486827838016</v>
      </c>
      <c r="J108" s="15">
        <v>-22349.486827838016</v>
      </c>
      <c r="K108" s="15">
        <v>-0.76810923897712047</v>
      </c>
      <c r="M108" s="15">
        <v>53.666666666666664</v>
      </c>
      <c r="N108" s="15">
        <v>96380</v>
      </c>
    </row>
    <row r="109" spans="1:14" x14ac:dyDescent="0.25">
      <c r="A109" s="7">
        <v>90398</v>
      </c>
      <c r="B109" s="8">
        <v>61088</v>
      </c>
      <c r="C109" s="8">
        <v>758</v>
      </c>
      <c r="D109" s="10">
        <v>8124</v>
      </c>
      <c r="E109" s="8">
        <v>2875</v>
      </c>
      <c r="H109" s="15">
        <v>82</v>
      </c>
      <c r="I109" s="15">
        <v>206778.4054896296</v>
      </c>
      <c r="J109" s="15">
        <v>-51620.4054896296</v>
      </c>
      <c r="K109" s="15">
        <v>-1.7740948900420603</v>
      </c>
      <c r="M109" s="15">
        <v>54.333333333333336</v>
      </c>
      <c r="N109" s="15">
        <v>96648</v>
      </c>
    </row>
    <row r="110" spans="1:14" x14ac:dyDescent="0.25">
      <c r="A110" s="7">
        <v>242406</v>
      </c>
      <c r="B110" s="8">
        <v>80274</v>
      </c>
      <c r="C110" s="8">
        <v>1968</v>
      </c>
      <c r="D110" s="10">
        <v>20320</v>
      </c>
      <c r="E110" s="8">
        <v>3489</v>
      </c>
      <c r="H110" s="15">
        <v>83</v>
      </c>
      <c r="I110" s="15">
        <v>94219.731988501459</v>
      </c>
      <c r="J110" s="15">
        <v>-7540.7319885014585</v>
      </c>
      <c r="K110" s="15">
        <v>-0.25916057731597519</v>
      </c>
      <c r="M110" s="15">
        <v>55</v>
      </c>
      <c r="N110" s="15">
        <v>99564</v>
      </c>
    </row>
    <row r="111" spans="1:14" x14ac:dyDescent="0.25">
      <c r="A111" s="7">
        <v>75208</v>
      </c>
      <c r="B111" s="8">
        <v>64510</v>
      </c>
      <c r="C111" s="8">
        <v>913</v>
      </c>
      <c r="D111" s="10">
        <v>8553</v>
      </c>
      <c r="E111" s="8">
        <v>2789</v>
      </c>
      <c r="H111" s="15">
        <v>84</v>
      </c>
      <c r="I111" s="15">
        <v>216265.80271727536</v>
      </c>
      <c r="J111" s="15">
        <v>2381.1972827246354</v>
      </c>
      <c r="K111" s="15">
        <v>8.1837209363117072E-2</v>
      </c>
      <c r="M111" s="15">
        <v>55.666666666666664</v>
      </c>
      <c r="N111" s="15">
        <v>103466</v>
      </c>
    </row>
    <row r="112" spans="1:14" x14ac:dyDescent="0.25">
      <c r="A112" s="7">
        <v>43204</v>
      </c>
      <c r="B112" s="8">
        <v>27274</v>
      </c>
      <c r="C112" s="8">
        <v>130</v>
      </c>
      <c r="D112" s="9">
        <v>3408</v>
      </c>
      <c r="E112" s="8">
        <v>3377</v>
      </c>
      <c r="H112" s="15">
        <v>85</v>
      </c>
      <c r="I112" s="15">
        <v>90767.214374078583</v>
      </c>
      <c r="J112" s="15">
        <v>-17701.214374078583</v>
      </c>
      <c r="K112" s="15">
        <v>-0.60835697958437751</v>
      </c>
      <c r="M112" s="15">
        <v>56.333333333333336</v>
      </c>
      <c r="N112" s="15">
        <v>104323</v>
      </c>
    </row>
    <row r="113" spans="1:14" x14ac:dyDescent="0.25">
      <c r="A113" s="7">
        <v>236254</v>
      </c>
      <c r="B113" s="8">
        <v>73092</v>
      </c>
      <c r="C113" s="8">
        <v>2323</v>
      </c>
      <c r="D113" s="10">
        <v>20911</v>
      </c>
      <c r="E113" s="8">
        <v>2961</v>
      </c>
      <c r="H113" s="15">
        <v>86</v>
      </c>
      <c r="I113" s="15">
        <v>40011.483879860767</v>
      </c>
      <c r="J113" s="15">
        <v>279.51612013923295</v>
      </c>
      <c r="K113" s="15">
        <v>9.6064359766220436E-3</v>
      </c>
      <c r="M113" s="15">
        <v>57</v>
      </c>
      <c r="N113" s="15">
        <v>105254</v>
      </c>
    </row>
    <row r="114" spans="1:14" x14ac:dyDescent="0.25">
      <c r="A114" s="7">
        <v>96648</v>
      </c>
      <c r="B114" s="8">
        <v>69884</v>
      </c>
      <c r="C114" s="8">
        <v>2249</v>
      </c>
      <c r="D114" s="10">
        <v>11482</v>
      </c>
      <c r="E114" s="8">
        <v>3344</v>
      </c>
      <c r="H114" s="15">
        <v>87</v>
      </c>
      <c r="I114" s="15">
        <v>195839.10232413409</v>
      </c>
      <c r="J114" s="15">
        <v>18560.897675865912</v>
      </c>
      <c r="K114" s="15">
        <v>0.63790265514211386</v>
      </c>
      <c r="M114" s="15">
        <v>57.666666666666664</v>
      </c>
      <c r="N114" s="15">
        <v>108822</v>
      </c>
    </row>
    <row r="115" spans="1:14" x14ac:dyDescent="0.25">
      <c r="A115" s="7">
        <v>220242</v>
      </c>
      <c r="B115" s="8">
        <v>82007</v>
      </c>
      <c r="C115" s="8">
        <v>1360</v>
      </c>
      <c r="D115" s="10">
        <v>25465</v>
      </c>
      <c r="E115" s="8">
        <v>3129</v>
      </c>
      <c r="H115" s="15">
        <v>88</v>
      </c>
      <c r="I115" s="15">
        <v>157783.44091077102</v>
      </c>
      <c r="J115" s="15">
        <v>-65356.440910771023</v>
      </c>
      <c r="K115" s="15">
        <v>-2.2461762311113285</v>
      </c>
      <c r="M115" s="15">
        <v>58.333333333333336</v>
      </c>
      <c r="N115" s="15">
        <v>111489</v>
      </c>
    </row>
    <row r="116" spans="1:14" x14ac:dyDescent="0.25">
      <c r="A116" s="7">
        <v>188424</v>
      </c>
      <c r="B116" s="8">
        <v>78813</v>
      </c>
      <c r="C116" s="8">
        <v>2317</v>
      </c>
      <c r="D116" s="9">
        <v>11104</v>
      </c>
      <c r="E116" s="8">
        <v>3179</v>
      </c>
      <c r="H116" s="15">
        <v>89</v>
      </c>
      <c r="I116" s="15">
        <v>217867.58718939772</v>
      </c>
      <c r="J116" s="15">
        <v>-20714.587189397716</v>
      </c>
      <c r="K116" s="15">
        <v>-0.71192085636413915</v>
      </c>
      <c r="M116" s="15">
        <v>59</v>
      </c>
      <c r="N116" s="15">
        <v>113474</v>
      </c>
    </row>
    <row r="117" spans="1:14" x14ac:dyDescent="0.25">
      <c r="A117" s="7">
        <v>71901</v>
      </c>
      <c r="B117" s="8">
        <v>59350</v>
      </c>
      <c r="C117" s="8">
        <v>469</v>
      </c>
      <c r="D117" s="10">
        <v>6021</v>
      </c>
      <c r="E117" s="8">
        <v>3033</v>
      </c>
      <c r="H117" s="15">
        <v>90</v>
      </c>
      <c r="I117" s="15">
        <v>157394.41443714488</v>
      </c>
      <c r="J117" s="15">
        <v>29894.585562855122</v>
      </c>
      <c r="K117" s="15">
        <v>1.027419893042901</v>
      </c>
      <c r="M117" s="15">
        <v>59.666666666666664</v>
      </c>
      <c r="N117" s="15">
        <v>113919</v>
      </c>
    </row>
    <row r="118" spans="1:14" x14ac:dyDescent="0.25">
      <c r="A118" s="7">
        <v>80432</v>
      </c>
      <c r="B118" s="8">
        <v>71955</v>
      </c>
      <c r="C118" s="8">
        <v>974</v>
      </c>
      <c r="D118" s="10">
        <v>6096</v>
      </c>
      <c r="E118" s="8">
        <v>2877</v>
      </c>
      <c r="H118" s="15">
        <v>91</v>
      </c>
      <c r="I118" s="15">
        <v>74295.565142373904</v>
      </c>
      <c r="J118" s="15">
        <v>-6932.5651423739037</v>
      </c>
      <c r="K118" s="15">
        <v>-0.23825904266560038</v>
      </c>
      <c r="M118" s="15">
        <v>60.333333333333336</v>
      </c>
      <c r="N118" s="15">
        <v>114842</v>
      </c>
    </row>
    <row r="119" spans="1:14" x14ac:dyDescent="0.25">
      <c r="A119" s="7">
        <v>62661</v>
      </c>
      <c r="B119" s="8">
        <v>55776</v>
      </c>
      <c r="C119" s="8">
        <v>448</v>
      </c>
      <c r="D119" s="10">
        <v>5135</v>
      </c>
      <c r="E119" s="8">
        <v>2527</v>
      </c>
      <c r="H119" s="15">
        <v>92</v>
      </c>
      <c r="I119" s="15">
        <v>90903.182199482108</v>
      </c>
      <c r="J119" s="15">
        <v>-15076.182199482108</v>
      </c>
      <c r="K119" s="15">
        <v>-0.51813963001157737</v>
      </c>
      <c r="M119" s="15">
        <v>61</v>
      </c>
      <c r="N119" s="15">
        <v>116272</v>
      </c>
    </row>
    <row r="120" spans="1:14" x14ac:dyDescent="0.25">
      <c r="A120" s="7">
        <v>257805</v>
      </c>
      <c r="B120" s="8">
        <v>75923</v>
      </c>
      <c r="C120" s="8">
        <v>1471</v>
      </c>
      <c r="D120" s="9">
        <v>25144</v>
      </c>
      <c r="E120" s="8">
        <v>3143</v>
      </c>
      <c r="H120" s="15">
        <v>93</v>
      </c>
      <c r="I120" s="15">
        <v>52269.170296707867</v>
      </c>
      <c r="J120" s="15">
        <v>4870.8297032921328</v>
      </c>
      <c r="K120" s="15">
        <v>0.16740112761438256</v>
      </c>
      <c r="M120" s="15">
        <v>61.666666666666664</v>
      </c>
      <c r="N120" s="15">
        <v>119680</v>
      </c>
    </row>
    <row r="121" spans="1:14" x14ac:dyDescent="0.25">
      <c r="A121" s="7">
        <v>68467</v>
      </c>
      <c r="B121" s="8">
        <v>63853</v>
      </c>
      <c r="C121" s="8">
        <v>281</v>
      </c>
      <c r="D121" s="10">
        <v>8116</v>
      </c>
      <c r="E121" s="8">
        <v>2617</v>
      </c>
      <c r="H121" s="15">
        <v>94</v>
      </c>
      <c r="I121" s="15">
        <v>206730.673765435</v>
      </c>
      <c r="J121" s="15">
        <v>40861.326234565</v>
      </c>
      <c r="K121" s="15">
        <v>1.4043258549692481</v>
      </c>
      <c r="M121" s="15">
        <v>62.333333333333336</v>
      </c>
      <c r="N121" s="15">
        <v>119800</v>
      </c>
    </row>
    <row r="122" spans="1:14" x14ac:dyDescent="0.25">
      <c r="A122" s="7">
        <v>96380</v>
      </c>
      <c r="B122" s="8">
        <v>65411</v>
      </c>
      <c r="C122" s="8">
        <v>663</v>
      </c>
      <c r="D122" s="10">
        <v>7654</v>
      </c>
      <c r="E122" s="8">
        <v>2878</v>
      </c>
      <c r="H122" s="15">
        <v>95</v>
      </c>
      <c r="I122" s="15">
        <v>76246.260356859973</v>
      </c>
      <c r="J122" s="15">
        <v>-14307.260356859973</v>
      </c>
      <c r="K122" s="15">
        <v>-0.49171325271177668</v>
      </c>
      <c r="M122" s="15">
        <v>63</v>
      </c>
      <c r="N122" s="15">
        <v>119876</v>
      </c>
    </row>
    <row r="123" spans="1:14" x14ac:dyDescent="0.25">
      <c r="A123" s="7">
        <v>108822</v>
      </c>
      <c r="B123" s="8">
        <v>64852</v>
      </c>
      <c r="C123" s="8">
        <v>811</v>
      </c>
      <c r="D123" s="10">
        <v>9286</v>
      </c>
      <c r="E123" s="8">
        <v>2829</v>
      </c>
      <c r="H123" s="15">
        <v>96</v>
      </c>
      <c r="I123" s="15">
        <v>86088.938745205334</v>
      </c>
      <c r="J123" s="15">
        <v>-3082.9387452053343</v>
      </c>
      <c r="K123" s="15">
        <v>-0.10595472511893107</v>
      </c>
      <c r="M123" s="15">
        <v>63.666666666666664</v>
      </c>
      <c r="N123" s="15">
        <v>124162</v>
      </c>
    </row>
    <row r="124" spans="1:14" x14ac:dyDescent="0.25">
      <c r="A124" s="7">
        <v>45054</v>
      </c>
      <c r="B124" s="8">
        <v>54178</v>
      </c>
      <c r="C124" s="8">
        <v>168</v>
      </c>
      <c r="D124" s="9">
        <v>4205</v>
      </c>
      <c r="E124" s="8">
        <v>2578</v>
      </c>
      <c r="H124" s="15">
        <v>97</v>
      </c>
      <c r="I124" s="15">
        <v>101991.46948103711</v>
      </c>
      <c r="J124" s="15">
        <v>1474.5305189628853</v>
      </c>
      <c r="K124" s="15">
        <v>5.0676801820719153E-2</v>
      </c>
      <c r="M124" s="15">
        <v>64.333333333333329</v>
      </c>
      <c r="N124" s="15">
        <v>128638</v>
      </c>
    </row>
    <row r="125" spans="1:14" x14ac:dyDescent="0.25">
      <c r="A125" s="7">
        <v>84068</v>
      </c>
      <c r="B125" s="8">
        <v>65815</v>
      </c>
      <c r="C125" s="8">
        <v>891</v>
      </c>
      <c r="D125" s="10">
        <v>6254</v>
      </c>
      <c r="E125" s="8">
        <v>2690</v>
      </c>
      <c r="H125" s="15">
        <v>98</v>
      </c>
      <c r="I125" s="15">
        <v>45063.143509330766</v>
      </c>
      <c r="J125" s="15">
        <v>-3403.1435093307664</v>
      </c>
      <c r="K125" s="15">
        <v>-0.11695955219097291</v>
      </c>
      <c r="M125" s="15">
        <v>64.999999999999986</v>
      </c>
      <c r="N125" s="15">
        <v>129097</v>
      </c>
    </row>
    <row r="126" spans="1:14" x14ac:dyDescent="0.25">
      <c r="A126" s="7">
        <v>1014693</v>
      </c>
      <c r="B126" s="8">
        <v>182547</v>
      </c>
      <c r="C126" s="8">
        <v>12428</v>
      </c>
      <c r="D126" s="10">
        <v>101252</v>
      </c>
      <c r="E126" s="8">
        <v>5376</v>
      </c>
      <c r="H126" s="15">
        <v>99</v>
      </c>
      <c r="I126" s="15">
        <v>79748.463475729484</v>
      </c>
      <c r="J126" s="15">
        <v>-1767.4634757294843</v>
      </c>
      <c r="K126" s="15">
        <v>-6.0744348884620845E-2</v>
      </c>
      <c r="M126" s="15">
        <v>65.666666666666657</v>
      </c>
      <c r="N126" s="15">
        <v>130187</v>
      </c>
    </row>
    <row r="127" spans="1:14" x14ac:dyDescent="0.25">
      <c r="A127" s="7">
        <v>173531</v>
      </c>
      <c r="B127" s="8">
        <v>81970</v>
      </c>
      <c r="C127" s="8">
        <v>1309</v>
      </c>
      <c r="D127" s="10">
        <v>10050</v>
      </c>
      <c r="E127" s="8">
        <v>3396</v>
      </c>
      <c r="H127" s="15">
        <v>100</v>
      </c>
      <c r="I127" s="15">
        <v>990025.93802857713</v>
      </c>
      <c r="J127" s="15">
        <v>-40455.938028577133</v>
      </c>
      <c r="K127" s="15">
        <v>-1.3903934354559826</v>
      </c>
      <c r="M127" s="15">
        <v>66.333333333333329</v>
      </c>
      <c r="N127" s="15">
        <v>131154</v>
      </c>
    </row>
    <row r="128" spans="1:14" x14ac:dyDescent="0.25">
      <c r="A128" s="7">
        <v>92535</v>
      </c>
      <c r="B128" s="8">
        <v>65481</v>
      </c>
      <c r="C128" s="8">
        <v>833</v>
      </c>
      <c r="D128" s="10">
        <v>6280</v>
      </c>
      <c r="E128" s="8">
        <v>3291</v>
      </c>
      <c r="H128" s="15">
        <v>101</v>
      </c>
      <c r="I128" s="15">
        <v>127622.4694648119</v>
      </c>
      <c r="J128" s="15">
        <v>8244.5305351880961</v>
      </c>
      <c r="K128" s="15">
        <v>0.28334879113282779</v>
      </c>
      <c r="M128" s="15">
        <v>66.999999999999986</v>
      </c>
      <c r="N128" s="15">
        <v>135867</v>
      </c>
    </row>
    <row r="129" spans="1:14" x14ac:dyDescent="0.25">
      <c r="A129" s="7">
        <v>582363</v>
      </c>
      <c r="B129" s="8">
        <v>107671</v>
      </c>
      <c r="C129" s="8">
        <v>12164</v>
      </c>
      <c r="D129" s="9">
        <v>30511</v>
      </c>
      <c r="E129" s="8">
        <v>4366</v>
      </c>
      <c r="H129" s="15">
        <v>102</v>
      </c>
      <c r="I129" s="15">
        <v>77872.115241716907</v>
      </c>
      <c r="J129" s="15">
        <v>-468.11524171690689</v>
      </c>
      <c r="K129" s="15">
        <v>-1.608822810288869E-2</v>
      </c>
      <c r="M129" s="15">
        <v>67.666666666666657</v>
      </c>
      <c r="N129" s="15">
        <v>137500</v>
      </c>
    </row>
    <row r="130" spans="1:14" x14ac:dyDescent="0.25">
      <c r="A130" s="7">
        <v>283326</v>
      </c>
      <c r="B130" s="8">
        <v>47604</v>
      </c>
      <c r="C130" s="8">
        <v>7038</v>
      </c>
      <c r="D130" s="10">
        <v>9202</v>
      </c>
      <c r="E130" s="8">
        <v>4980</v>
      </c>
      <c r="H130" s="15">
        <v>103</v>
      </c>
      <c r="I130" s="15">
        <v>410828.46379086433</v>
      </c>
      <c r="J130" s="15">
        <v>-12096.463790864334</v>
      </c>
      <c r="K130" s="15">
        <v>-0.41573239100693499</v>
      </c>
      <c r="M130" s="15">
        <v>68.333333333333329</v>
      </c>
      <c r="N130" s="15">
        <v>147043</v>
      </c>
    </row>
    <row r="131" spans="1:14" x14ac:dyDescent="0.25">
      <c r="A131" s="7">
        <v>113919</v>
      </c>
      <c r="B131" s="8">
        <v>76107</v>
      </c>
      <c r="C131" s="8">
        <v>772</v>
      </c>
      <c r="D131" s="10">
        <v>7028</v>
      </c>
      <c r="E131" s="8">
        <v>3271</v>
      </c>
      <c r="H131" s="15">
        <v>104</v>
      </c>
      <c r="I131" s="15">
        <v>179166.06615683547</v>
      </c>
      <c r="J131" s="15">
        <v>27142.93384316453</v>
      </c>
      <c r="K131" s="15">
        <v>0.93285087118468946</v>
      </c>
      <c r="M131" s="15">
        <v>68.999999999999986</v>
      </c>
      <c r="N131" s="15">
        <v>147308</v>
      </c>
    </row>
    <row r="132" spans="1:14" x14ac:dyDescent="0.25">
      <c r="A132" s="7">
        <v>75626</v>
      </c>
      <c r="B132" s="8">
        <v>58844</v>
      </c>
      <c r="C132" s="8">
        <v>1685</v>
      </c>
      <c r="D132" s="10">
        <v>6572</v>
      </c>
      <c r="E132" s="8">
        <v>3381</v>
      </c>
      <c r="H132" s="15">
        <v>105</v>
      </c>
      <c r="I132" s="15">
        <v>93185.460750228594</v>
      </c>
      <c r="J132" s="15">
        <v>-1820.4607502285944</v>
      </c>
      <c r="K132" s="15">
        <v>-6.2565764136655558E-2</v>
      </c>
      <c r="M132" s="15">
        <v>69.666666666666657</v>
      </c>
      <c r="N132" s="15">
        <v>149392</v>
      </c>
    </row>
    <row r="133" spans="1:14" x14ac:dyDescent="0.25">
      <c r="A133" s="7">
        <v>228906</v>
      </c>
      <c r="B133" s="8">
        <v>93475</v>
      </c>
      <c r="C133" s="8">
        <v>4741</v>
      </c>
      <c r="D133" s="9">
        <v>15363</v>
      </c>
      <c r="E133" s="8">
        <v>4200</v>
      </c>
      <c r="H133" s="15">
        <v>106</v>
      </c>
      <c r="I133" s="15">
        <v>91241.769072854993</v>
      </c>
      <c r="J133" s="15">
        <v>-29219.769072854993</v>
      </c>
      <c r="K133" s="15">
        <v>-1.0042277372419193</v>
      </c>
      <c r="M133" s="15">
        <v>70.333333333333329</v>
      </c>
      <c r="N133" s="15">
        <v>150543</v>
      </c>
    </row>
    <row r="134" spans="1:14" x14ac:dyDescent="0.25">
      <c r="A134" s="7">
        <v>119680</v>
      </c>
      <c r="B134" s="8">
        <v>68561</v>
      </c>
      <c r="C134" s="8">
        <v>1165</v>
      </c>
      <c r="D134" s="10">
        <v>7793</v>
      </c>
      <c r="E134" s="8">
        <v>3402</v>
      </c>
      <c r="H134" s="15">
        <v>107</v>
      </c>
      <c r="I134" s="15">
        <v>216222.38757537754</v>
      </c>
      <c r="J134" s="15">
        <v>-48962.387575377536</v>
      </c>
      <c r="K134" s="15">
        <v>-1.6827438835052715</v>
      </c>
      <c r="M134" s="15">
        <v>70.999999999999986</v>
      </c>
      <c r="N134" s="15">
        <v>154871</v>
      </c>
    </row>
    <row r="135" spans="1:14" x14ac:dyDescent="0.25">
      <c r="A135" s="7">
        <v>291519</v>
      </c>
      <c r="B135" s="8">
        <v>96293</v>
      </c>
      <c r="C135" s="8">
        <v>2551</v>
      </c>
      <c r="D135" s="10">
        <v>20262</v>
      </c>
      <c r="E135" s="8">
        <v>4153</v>
      </c>
      <c r="H135" s="15">
        <v>108</v>
      </c>
      <c r="I135" s="15">
        <v>97880.317058992892</v>
      </c>
      <c r="J135" s="15">
        <v>-7482.3170589928923</v>
      </c>
      <c r="K135" s="15">
        <v>-0.25715296759341821</v>
      </c>
      <c r="M135" s="15">
        <v>71.666666666666657</v>
      </c>
      <c r="N135" s="15">
        <v>155158</v>
      </c>
    </row>
    <row r="136" spans="1:14" x14ac:dyDescent="0.25">
      <c r="A136" s="7">
        <v>99564</v>
      </c>
      <c r="B136" s="8">
        <v>73146</v>
      </c>
      <c r="C136" s="8">
        <v>1022</v>
      </c>
      <c r="D136" s="10">
        <v>8347</v>
      </c>
      <c r="E136" s="8">
        <v>3282</v>
      </c>
      <c r="H136" s="15">
        <v>109</v>
      </c>
      <c r="I136" s="15">
        <v>220129.45948543685</v>
      </c>
      <c r="J136" s="15">
        <v>22276.540514563152</v>
      </c>
      <c r="K136" s="15">
        <v>0.76560221330770095</v>
      </c>
      <c r="M136" s="15">
        <v>72.333333333333329</v>
      </c>
      <c r="N136" s="15">
        <v>156829</v>
      </c>
    </row>
    <row r="137" spans="1:14" x14ac:dyDescent="0.25">
      <c r="A137" s="7">
        <v>52135</v>
      </c>
      <c r="B137" s="8">
        <v>31390</v>
      </c>
      <c r="C137" s="8">
        <v>168</v>
      </c>
      <c r="D137" s="9">
        <v>3356</v>
      </c>
      <c r="E137" s="8">
        <v>3427</v>
      </c>
      <c r="H137" s="15">
        <v>110</v>
      </c>
      <c r="I137" s="15">
        <v>104419.98007334179</v>
      </c>
      <c r="J137" s="15">
        <v>-29211.980073341794</v>
      </c>
      <c r="K137" s="15">
        <v>-1.0039600441832568</v>
      </c>
      <c r="M137" s="15">
        <v>72.999999999999986</v>
      </c>
      <c r="N137" s="15">
        <v>165932</v>
      </c>
    </row>
    <row r="138" spans="1:14" x14ac:dyDescent="0.25">
      <c r="A138" s="7">
        <v>296182</v>
      </c>
      <c r="B138" s="8">
        <v>85195</v>
      </c>
      <c r="C138" s="8">
        <v>2933</v>
      </c>
      <c r="D138" s="10">
        <v>21186</v>
      </c>
      <c r="E138" s="8">
        <v>3646</v>
      </c>
      <c r="H138" s="15">
        <v>111</v>
      </c>
      <c r="I138" s="15">
        <v>41051.322516090979</v>
      </c>
      <c r="J138" s="15">
        <v>2152.6774839090212</v>
      </c>
      <c r="K138" s="15">
        <v>7.3983419693958663E-2</v>
      </c>
      <c r="M138" s="15">
        <v>73.666666666666657</v>
      </c>
      <c r="N138" s="15">
        <v>167260</v>
      </c>
    </row>
    <row r="139" spans="1:14" x14ac:dyDescent="0.25">
      <c r="A139" s="7">
        <v>124162</v>
      </c>
      <c r="B139" s="8">
        <v>81870</v>
      </c>
      <c r="C139" s="8">
        <v>3457</v>
      </c>
      <c r="D139" s="10">
        <v>11481</v>
      </c>
      <c r="E139" s="8">
        <v>3984</v>
      </c>
      <c r="H139" s="15">
        <v>112</v>
      </c>
      <c r="I139" s="15">
        <v>210434.33775126925</v>
      </c>
      <c r="J139" s="15">
        <v>25819.662248730747</v>
      </c>
      <c r="K139" s="15">
        <v>0.88737255013015193</v>
      </c>
      <c r="M139" s="15">
        <v>74.333333333333329</v>
      </c>
      <c r="N139" s="15">
        <v>173224</v>
      </c>
    </row>
    <row r="140" spans="1:14" x14ac:dyDescent="0.25">
      <c r="A140" s="7">
        <v>271669</v>
      </c>
      <c r="B140" s="8">
        <v>93001</v>
      </c>
      <c r="C140" s="8">
        <v>1698</v>
      </c>
      <c r="D140" s="10">
        <v>23962</v>
      </c>
      <c r="E140" s="8">
        <v>3897</v>
      </c>
      <c r="H140" s="15">
        <v>113</v>
      </c>
      <c r="I140" s="15">
        <v>166986.59580376913</v>
      </c>
      <c r="J140" s="15">
        <v>-70338.595803769131</v>
      </c>
      <c r="K140" s="15">
        <v>-2.4174033931847001</v>
      </c>
      <c r="M140" s="15">
        <v>74.999999999999986</v>
      </c>
      <c r="N140" s="15">
        <v>173531</v>
      </c>
    </row>
    <row r="141" spans="1:14" x14ac:dyDescent="0.25">
      <c r="A141" s="7">
        <v>266694</v>
      </c>
      <c r="B141" s="8">
        <v>92260</v>
      </c>
      <c r="C141" s="8">
        <v>3190</v>
      </c>
      <c r="D141" s="9">
        <v>11254</v>
      </c>
      <c r="E141" s="8">
        <v>3783</v>
      </c>
      <c r="H141" s="15">
        <v>114</v>
      </c>
      <c r="I141" s="15">
        <v>226265.89717385924</v>
      </c>
      <c r="J141" s="15">
        <v>-6023.8971738592372</v>
      </c>
      <c r="K141" s="15">
        <v>-0.20702985753239508</v>
      </c>
      <c r="M141" s="15">
        <v>75.666666666666657</v>
      </c>
      <c r="N141" s="15">
        <v>174089</v>
      </c>
    </row>
    <row r="142" spans="1:14" x14ac:dyDescent="0.25">
      <c r="A142" s="7">
        <v>88859</v>
      </c>
      <c r="B142" s="8">
        <v>67727</v>
      </c>
      <c r="C142" s="8">
        <v>704</v>
      </c>
      <c r="D142" s="10">
        <v>6163</v>
      </c>
      <c r="E142" s="8">
        <v>3573</v>
      </c>
      <c r="H142" s="15">
        <v>115</v>
      </c>
      <c r="I142" s="15">
        <v>170731.80220459777</v>
      </c>
      <c r="J142" s="15">
        <v>17692.19779540223</v>
      </c>
      <c r="K142" s="15">
        <v>0.60804709697102621</v>
      </c>
      <c r="M142" s="15">
        <v>76.333333333333329</v>
      </c>
      <c r="N142" s="15">
        <v>177233</v>
      </c>
    </row>
    <row r="143" spans="1:14" x14ac:dyDescent="0.25">
      <c r="A143" s="7">
        <v>105254</v>
      </c>
      <c r="B143" s="8">
        <v>83307</v>
      </c>
      <c r="C143" s="8">
        <v>1061</v>
      </c>
      <c r="D143" s="10">
        <v>6132</v>
      </c>
      <c r="E143" s="8">
        <v>3449</v>
      </c>
      <c r="H143" s="15">
        <v>116</v>
      </c>
      <c r="I143" s="15">
        <v>83307.940901687136</v>
      </c>
      <c r="J143" s="15">
        <v>-11406.940901687136</v>
      </c>
      <c r="K143" s="15">
        <v>-0.39203480431319893</v>
      </c>
      <c r="M143" s="15">
        <v>76.999999999999986</v>
      </c>
      <c r="N143" s="15">
        <v>187238</v>
      </c>
    </row>
    <row r="144" spans="1:14" x14ac:dyDescent="0.25">
      <c r="A144" s="7">
        <v>81485</v>
      </c>
      <c r="B144" s="8">
        <v>65084</v>
      </c>
      <c r="C144" s="8">
        <v>679</v>
      </c>
      <c r="D144" s="10">
        <v>5136</v>
      </c>
      <c r="E144" s="8">
        <v>2994</v>
      </c>
      <c r="H144" s="15">
        <v>117</v>
      </c>
      <c r="I144" s="15">
        <v>102338.69867127991</v>
      </c>
      <c r="J144" s="15">
        <v>-21906.698671279912</v>
      </c>
      <c r="K144" s="15">
        <v>-0.75289145448918782</v>
      </c>
      <c r="M144" s="15">
        <v>77.666666666666657</v>
      </c>
      <c r="N144" s="15">
        <v>187289</v>
      </c>
    </row>
    <row r="145" spans="1:14" x14ac:dyDescent="0.25">
      <c r="A145" s="7">
        <v>319796</v>
      </c>
      <c r="B145" s="8">
        <v>88863</v>
      </c>
      <c r="C145" s="8">
        <v>1801</v>
      </c>
      <c r="D145" s="9">
        <v>25808</v>
      </c>
      <c r="E145" s="8">
        <v>3697</v>
      </c>
      <c r="H145" s="15">
        <v>118</v>
      </c>
      <c r="I145" s="15">
        <v>62027.769855688093</v>
      </c>
      <c r="J145" s="15">
        <v>633.23014431190677</v>
      </c>
      <c r="K145" s="15">
        <v>2.1762912410094114E-2</v>
      </c>
      <c r="M145" s="15">
        <v>78.333333333333329</v>
      </c>
      <c r="N145" s="15">
        <v>188424</v>
      </c>
    </row>
    <row r="146" spans="1:14" x14ac:dyDescent="0.25">
      <c r="A146" s="7">
        <v>88182</v>
      </c>
      <c r="B146" s="8">
        <v>73624</v>
      </c>
      <c r="C146" s="8">
        <v>413</v>
      </c>
      <c r="D146" s="10">
        <v>7811</v>
      </c>
      <c r="E146" s="8">
        <v>3123</v>
      </c>
      <c r="H146" s="15">
        <v>119</v>
      </c>
      <c r="I146" s="15">
        <v>221552.44181638921</v>
      </c>
      <c r="J146" s="15">
        <v>36252.558183610789</v>
      </c>
      <c r="K146" s="15">
        <v>1.2459312865610321</v>
      </c>
      <c r="M146" s="15">
        <v>78.999999999999986</v>
      </c>
      <c r="N146" s="15">
        <v>192161</v>
      </c>
    </row>
    <row r="147" spans="1:14" x14ac:dyDescent="0.25">
      <c r="A147" s="7">
        <v>119876</v>
      </c>
      <c r="B147" s="8">
        <v>75606</v>
      </c>
      <c r="C147" s="8">
        <v>918</v>
      </c>
      <c r="D147" s="10">
        <v>7698</v>
      </c>
      <c r="E147" s="8">
        <v>3371</v>
      </c>
      <c r="H147" s="15">
        <v>120</v>
      </c>
      <c r="I147" s="15">
        <v>83802.727219231776</v>
      </c>
      <c r="J147" s="15">
        <v>-15335.727219231776</v>
      </c>
      <c r="K147" s="15">
        <v>-0.52705969735522229</v>
      </c>
      <c r="M147" s="15">
        <v>79.666666666666657</v>
      </c>
      <c r="N147" s="15">
        <v>197153</v>
      </c>
    </row>
    <row r="148" spans="1:14" x14ac:dyDescent="0.25">
      <c r="A148" s="7">
        <v>131154</v>
      </c>
      <c r="B148" s="8">
        <v>76673</v>
      </c>
      <c r="C148" s="8">
        <v>884</v>
      </c>
      <c r="D148" s="10">
        <v>9238</v>
      </c>
      <c r="E148" s="8">
        <v>3360</v>
      </c>
      <c r="H148" s="15">
        <v>121</v>
      </c>
      <c r="I148" s="15">
        <v>97620.195581690263</v>
      </c>
      <c r="J148" s="15">
        <v>-1240.1955816902628</v>
      </c>
      <c r="K148" s="15">
        <v>-4.2623156932997265E-2</v>
      </c>
      <c r="M148" s="15">
        <v>80.333333333333329</v>
      </c>
      <c r="N148" s="15">
        <v>198142</v>
      </c>
    </row>
    <row r="149" spans="1:14" x14ac:dyDescent="0.25">
      <c r="A149" s="7">
        <v>54582</v>
      </c>
      <c r="B149" s="8">
        <v>61612</v>
      </c>
      <c r="C149" s="8">
        <v>207</v>
      </c>
      <c r="D149" s="9">
        <v>4090</v>
      </c>
      <c r="E149" s="8">
        <v>3050</v>
      </c>
      <c r="H149" s="15">
        <v>122</v>
      </c>
      <c r="I149" s="15">
        <v>107383.66399875031</v>
      </c>
      <c r="J149" s="15">
        <v>1438.3360012496851</v>
      </c>
      <c r="K149" s="15">
        <v>4.943286527443562E-2</v>
      </c>
      <c r="M149" s="15">
        <v>80.999999999999986</v>
      </c>
      <c r="N149" s="15">
        <v>204893</v>
      </c>
    </row>
    <row r="150" spans="1:14" x14ac:dyDescent="0.25">
      <c r="A150" s="7">
        <v>113474</v>
      </c>
      <c r="B150" s="8">
        <v>73742</v>
      </c>
      <c r="C150" s="8">
        <v>1190</v>
      </c>
      <c r="D150" s="10">
        <v>6192</v>
      </c>
      <c r="E150" s="8">
        <v>3295</v>
      </c>
      <c r="H150" s="15">
        <v>123</v>
      </c>
      <c r="I150" s="15">
        <v>51099.343208096208</v>
      </c>
      <c r="J150" s="15">
        <v>-6045.3432080962084</v>
      </c>
      <c r="K150" s="15">
        <v>-0.2077669168288224</v>
      </c>
      <c r="M150" s="15">
        <v>81.666666666666657</v>
      </c>
      <c r="N150" s="15">
        <v>206309</v>
      </c>
    </row>
    <row r="151" spans="1:14" x14ac:dyDescent="0.25">
      <c r="A151" s="7">
        <v>1276376</v>
      </c>
      <c r="B151" s="8">
        <v>211620</v>
      </c>
      <c r="C151" s="8">
        <v>15331</v>
      </c>
      <c r="D151" s="10">
        <v>99919</v>
      </c>
      <c r="E151" s="8">
        <v>6732</v>
      </c>
      <c r="H151" s="15">
        <v>124</v>
      </c>
      <c r="I151" s="15">
        <v>90820.881824174518</v>
      </c>
      <c r="J151" s="15">
        <v>-6752.8818241745175</v>
      </c>
      <c r="K151" s="15">
        <v>-0.23208366969788177</v>
      </c>
      <c r="M151" s="15">
        <v>82.333333333333329</v>
      </c>
      <c r="N151" s="15">
        <v>214400</v>
      </c>
    </row>
    <row r="152" spans="1:14" x14ac:dyDescent="0.25">
      <c r="H152" s="15">
        <v>125</v>
      </c>
      <c r="I152" s="15">
        <v>1003336.9251424678</v>
      </c>
      <c r="J152" s="15">
        <v>11356.074857532163</v>
      </c>
      <c r="K152" s="15">
        <v>0.39028663538356667</v>
      </c>
      <c r="M152" s="15">
        <v>82.999999999999986</v>
      </c>
      <c r="N152" s="15">
        <v>218647</v>
      </c>
    </row>
    <row r="153" spans="1:14" x14ac:dyDescent="0.25">
      <c r="H153" s="15">
        <v>126</v>
      </c>
      <c r="I153" s="15">
        <v>152502.19667804451</v>
      </c>
      <c r="J153" s="15">
        <v>21028.803321955493</v>
      </c>
      <c r="K153" s="15">
        <v>0.72271986559027779</v>
      </c>
      <c r="M153" s="15">
        <v>83.666666666666657</v>
      </c>
      <c r="N153" s="15">
        <v>220242</v>
      </c>
    </row>
    <row r="154" spans="1:14" x14ac:dyDescent="0.25">
      <c r="H154" s="15">
        <v>127</v>
      </c>
      <c r="I154" s="15">
        <v>104715.801787857</v>
      </c>
      <c r="J154" s="15">
        <v>-12180.801787856995</v>
      </c>
      <c r="K154" s="15">
        <v>-0.41863092712035477</v>
      </c>
      <c r="M154" s="15">
        <v>84.333333333333329</v>
      </c>
      <c r="N154" s="15">
        <v>228906</v>
      </c>
    </row>
    <row r="155" spans="1:14" x14ac:dyDescent="0.25">
      <c r="H155" s="15">
        <v>128</v>
      </c>
      <c r="I155" s="15">
        <v>536517.7459064445</v>
      </c>
      <c r="J155" s="15">
        <v>45845.254093555501</v>
      </c>
      <c r="K155" s="15">
        <v>1.5756139505025084</v>
      </c>
      <c r="M155" s="15">
        <v>84.999999999999986</v>
      </c>
      <c r="N155" s="15">
        <v>233279</v>
      </c>
    </row>
    <row r="156" spans="1:14" x14ac:dyDescent="0.25">
      <c r="H156" s="15">
        <v>129</v>
      </c>
      <c r="I156" s="15">
        <v>277049.35444732732</v>
      </c>
      <c r="J156" s="15">
        <v>6276.6455526726786</v>
      </c>
      <c r="K156" s="15">
        <v>0.21571633728911502</v>
      </c>
      <c r="M156" s="15">
        <v>85.666666666666657</v>
      </c>
      <c r="N156" s="15">
        <v>236254</v>
      </c>
    </row>
    <row r="157" spans="1:14" x14ac:dyDescent="0.25">
      <c r="H157" s="15">
        <v>130</v>
      </c>
      <c r="I157" s="15">
        <v>116836.40183341928</v>
      </c>
      <c r="J157" s="15">
        <v>-2917.4018334192806</v>
      </c>
      <c r="K157" s="15">
        <v>-0.10026553716065399</v>
      </c>
      <c r="M157" s="15">
        <v>86.333333333333329</v>
      </c>
      <c r="N157" s="15">
        <v>242406</v>
      </c>
    </row>
    <row r="158" spans="1:14" x14ac:dyDescent="0.25">
      <c r="H158" s="15">
        <v>131</v>
      </c>
      <c r="I158" s="15">
        <v>120240.8302044312</v>
      </c>
      <c r="J158" s="15">
        <v>-44614.8302044312</v>
      </c>
      <c r="K158" s="15">
        <v>-1.5333266280071507</v>
      </c>
      <c r="M158" s="15">
        <v>86.999999999999986</v>
      </c>
      <c r="N158" s="15">
        <v>244478</v>
      </c>
    </row>
    <row r="159" spans="1:14" x14ac:dyDescent="0.25">
      <c r="H159" s="15">
        <v>132</v>
      </c>
      <c r="I159" s="15">
        <v>283820.98380710772</v>
      </c>
      <c r="J159" s="15">
        <v>-54914.983807107725</v>
      </c>
      <c r="K159" s="15">
        <v>-1.8873232636365982</v>
      </c>
      <c r="M159" s="15">
        <v>87.666666666666657</v>
      </c>
      <c r="N159" s="15">
        <v>247592</v>
      </c>
    </row>
    <row r="160" spans="1:14" x14ac:dyDescent="0.25">
      <c r="H160" s="15">
        <v>133</v>
      </c>
      <c r="I160" s="15">
        <v>125277.27960723625</v>
      </c>
      <c r="J160" s="15">
        <v>-5597.2796072362544</v>
      </c>
      <c r="K160" s="15">
        <v>-0.19236782538117414</v>
      </c>
      <c r="M160" s="15">
        <v>88.333333333333329</v>
      </c>
      <c r="N160" s="15">
        <v>257805</v>
      </c>
    </row>
    <row r="161" spans="8:14" x14ac:dyDescent="0.25">
      <c r="H161" s="15">
        <v>134</v>
      </c>
      <c r="I161" s="15">
        <v>264237.67044760898</v>
      </c>
      <c r="J161" s="15">
        <v>27281.32955239102</v>
      </c>
      <c r="K161" s="15">
        <v>0.93760726777269743</v>
      </c>
      <c r="M161" s="15">
        <v>88.999999999999986</v>
      </c>
      <c r="N161" s="15">
        <v>266694</v>
      </c>
    </row>
    <row r="162" spans="8:14" x14ac:dyDescent="0.25">
      <c r="H162" s="15">
        <v>135</v>
      </c>
      <c r="I162" s="15">
        <v>126396.09389588075</v>
      </c>
      <c r="J162" s="15">
        <v>-26832.093895880753</v>
      </c>
      <c r="K162" s="15">
        <v>-0.9221678950076061</v>
      </c>
      <c r="M162" s="15">
        <v>89.666666666666657</v>
      </c>
      <c r="N162" s="15">
        <v>271669</v>
      </c>
    </row>
    <row r="163" spans="8:14" x14ac:dyDescent="0.25">
      <c r="H163" s="15">
        <v>136</v>
      </c>
      <c r="I163" s="15">
        <v>46758.442072814796</v>
      </c>
      <c r="J163" s="15">
        <v>5376.5579271852039</v>
      </c>
      <c r="K163" s="15">
        <v>0.18478204218195585</v>
      </c>
      <c r="M163" s="15">
        <v>90.333333333333329</v>
      </c>
      <c r="N163" s="15">
        <v>283326</v>
      </c>
    </row>
    <row r="164" spans="8:14" x14ac:dyDescent="0.25">
      <c r="H164" s="15">
        <v>137</v>
      </c>
      <c r="I164" s="15">
        <v>253655.40356197426</v>
      </c>
      <c r="J164" s="15">
        <v>42526.596438025736</v>
      </c>
      <c r="K164" s="15">
        <v>1.4615580159814763</v>
      </c>
      <c r="M164" s="15">
        <v>90.999999999999986</v>
      </c>
      <c r="N164" s="15">
        <v>291519</v>
      </c>
    </row>
    <row r="165" spans="8:14" x14ac:dyDescent="0.25">
      <c r="H165" s="15">
        <v>138</v>
      </c>
      <c r="I165" s="15">
        <v>220172.51922738706</v>
      </c>
      <c r="J165" s="15">
        <v>-96010.519227387063</v>
      </c>
      <c r="K165" s="15">
        <v>-3.2996984416523341</v>
      </c>
      <c r="M165" s="15">
        <v>91.666666666666657</v>
      </c>
      <c r="N165" s="15">
        <v>296182</v>
      </c>
    </row>
    <row r="166" spans="8:14" x14ac:dyDescent="0.25">
      <c r="H166" s="15">
        <v>139</v>
      </c>
      <c r="I166" s="15">
        <v>255635.07763783581</v>
      </c>
      <c r="J166" s="15">
        <v>16033.922362164187</v>
      </c>
      <c r="K166" s="15">
        <v>0.55105533287144115</v>
      </c>
      <c r="M166" s="15">
        <v>92.333333333333329</v>
      </c>
      <c r="N166" s="15">
        <v>313527</v>
      </c>
    </row>
    <row r="167" spans="8:14" x14ac:dyDescent="0.25">
      <c r="H167" s="15">
        <v>140</v>
      </c>
      <c r="I167" s="15">
        <v>218079.8819300817</v>
      </c>
      <c r="J167" s="15">
        <v>48614.118069918302</v>
      </c>
      <c r="K167" s="15">
        <v>1.6707745247965953</v>
      </c>
      <c r="M167" s="15">
        <v>92.999999999999986</v>
      </c>
      <c r="N167" s="15">
        <v>319796</v>
      </c>
    </row>
    <row r="168" spans="8:14" x14ac:dyDescent="0.25">
      <c r="H168" s="15">
        <v>141</v>
      </c>
      <c r="I168" s="15">
        <v>110693.25578258315</v>
      </c>
      <c r="J168" s="15">
        <v>-21834.255782583146</v>
      </c>
      <c r="K168" s="15">
        <v>-0.75040173056242332</v>
      </c>
      <c r="M168" s="15">
        <v>93.666666666666657</v>
      </c>
      <c r="N168" s="15">
        <v>369356</v>
      </c>
    </row>
    <row r="169" spans="8:14" x14ac:dyDescent="0.25">
      <c r="H169" s="15">
        <v>142</v>
      </c>
      <c r="I169" s="15">
        <v>129681.00804669184</v>
      </c>
      <c r="J169" s="15">
        <v>-24427.008046691844</v>
      </c>
      <c r="K169" s="15">
        <v>-0.83950968117362701</v>
      </c>
      <c r="M169" s="15">
        <v>94.333333333333329</v>
      </c>
      <c r="N169" s="15">
        <v>390325</v>
      </c>
    </row>
    <row r="170" spans="8:14" x14ac:dyDescent="0.25">
      <c r="H170" s="15">
        <v>143</v>
      </c>
      <c r="I170" s="15">
        <v>87624.751806100699</v>
      </c>
      <c r="J170" s="15">
        <v>-6139.7518061006995</v>
      </c>
      <c r="K170" s="15">
        <v>-0.21101156029311</v>
      </c>
      <c r="M170" s="15">
        <v>94.999999999999986</v>
      </c>
      <c r="N170" s="15">
        <v>398732</v>
      </c>
    </row>
    <row r="171" spans="8:14" x14ac:dyDescent="0.25">
      <c r="H171" s="15">
        <v>144</v>
      </c>
      <c r="I171" s="15">
        <v>258315.16906467811</v>
      </c>
      <c r="J171" s="15">
        <v>61480.830935321894</v>
      </c>
      <c r="K171" s="15">
        <v>2.1129789075331233</v>
      </c>
      <c r="M171" s="15">
        <v>95.666666666666657</v>
      </c>
      <c r="N171" s="15">
        <v>559140</v>
      </c>
    </row>
    <row r="172" spans="8:14" x14ac:dyDescent="0.25">
      <c r="H172" s="15">
        <v>145</v>
      </c>
      <c r="I172" s="15">
        <v>107160.94835314844</v>
      </c>
      <c r="J172" s="15">
        <v>-18978.948353148444</v>
      </c>
      <c r="K172" s="15">
        <v>-0.65227025964484409</v>
      </c>
      <c r="M172" s="15">
        <v>96.333333333333329</v>
      </c>
      <c r="N172" s="15">
        <v>582363</v>
      </c>
    </row>
    <row r="173" spans="8:14" x14ac:dyDescent="0.25">
      <c r="H173" s="15">
        <v>146</v>
      </c>
      <c r="I173" s="15">
        <v>125448.43097818442</v>
      </c>
      <c r="J173" s="15">
        <v>-5572.4309781844204</v>
      </c>
      <c r="K173" s="15">
        <v>-0.19151382539013831</v>
      </c>
      <c r="M173" s="15">
        <v>96.999999999999986</v>
      </c>
      <c r="N173" s="15">
        <v>699378</v>
      </c>
    </row>
    <row r="174" spans="8:14" x14ac:dyDescent="0.25">
      <c r="H174" s="15">
        <v>147</v>
      </c>
      <c r="I174" s="15">
        <v>133397.23007491435</v>
      </c>
      <c r="J174" s="15">
        <v>-2243.2300749143469</v>
      </c>
      <c r="K174" s="15">
        <v>-7.709553955157758E-2</v>
      </c>
      <c r="M174" s="15">
        <v>97.666666666666657</v>
      </c>
      <c r="N174" s="15">
        <v>833299</v>
      </c>
    </row>
    <row r="175" spans="8:14" x14ac:dyDescent="0.25">
      <c r="H175" s="15">
        <v>148</v>
      </c>
      <c r="I175" s="15">
        <v>70391.187195586448</v>
      </c>
      <c r="J175" s="15">
        <v>-15809.187195586448</v>
      </c>
      <c r="K175" s="15">
        <v>-0.54333161379452655</v>
      </c>
      <c r="M175" s="15">
        <v>98.333333333333329</v>
      </c>
      <c r="N175" s="15">
        <v>949570</v>
      </c>
    </row>
    <row r="176" spans="8:14" x14ac:dyDescent="0.25">
      <c r="H176" s="15">
        <v>149</v>
      </c>
      <c r="I176" s="15">
        <v>119736.90056387305</v>
      </c>
      <c r="J176" s="15">
        <v>-6262.900563873045</v>
      </c>
      <c r="K176" s="15">
        <v>-0.2152439482375022</v>
      </c>
      <c r="M176" s="15">
        <v>98.999999999999986</v>
      </c>
      <c r="N176" s="15">
        <v>1014693</v>
      </c>
    </row>
    <row r="177" spans="8:14" ht="15.75" thickBot="1" x14ac:dyDescent="0.3">
      <c r="H177" s="16">
        <v>150</v>
      </c>
      <c r="I177" s="16">
        <v>1119912.5130981663</v>
      </c>
      <c r="J177" s="16">
        <v>156463.48690183368</v>
      </c>
      <c r="K177" s="16">
        <v>5.3773516491743028</v>
      </c>
      <c r="M177" s="16">
        <v>99.666666666666657</v>
      </c>
      <c r="N177" s="16">
        <v>1276376</v>
      </c>
    </row>
  </sheetData>
  <sortState xmlns:xlrd2="http://schemas.microsoft.com/office/spreadsheetml/2017/richdata2" ref="N28:N177">
    <sortCondition ref="N28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0</vt:lpstr>
      <vt:lpstr>Data template</vt:lpstr>
      <vt:lpstr>Data</vt:lpstr>
      <vt:lpstr>Data_mean by region</vt:lpstr>
      <vt:lpstr>Data_standardisation</vt:lpstr>
      <vt:lpstr>Index</vt:lpstr>
      <vt:lpstr>Data quality</vt:lpstr>
      <vt:lpstr>Regression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Viktor Pavlikha</dc:creator>
  <cp:lastModifiedBy>Tetiana Lem</cp:lastModifiedBy>
  <dcterms:created xsi:type="dcterms:W3CDTF">2024-05-27T18:28:09Z</dcterms:created>
  <dcterms:modified xsi:type="dcterms:W3CDTF">2025-01-19T11:06:47Z</dcterms:modified>
</cp:coreProperties>
</file>